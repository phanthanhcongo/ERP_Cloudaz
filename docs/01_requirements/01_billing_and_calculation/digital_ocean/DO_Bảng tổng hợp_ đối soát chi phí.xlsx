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PROFIT2" sheetId="1" r:id="rId4"/>
    <sheet state="visible" name="MOG" sheetId="2" r:id="rId5"/>
    <sheet state="visible" name="Interspace" sheetId="3" r:id="rId6"/>
    <sheet state="visible" name="ADAMO SOFTWARE" sheetId="4" r:id="rId7"/>
    <sheet state="visible" name="ADFLEX" sheetId="5" r:id="rId8"/>
    <sheet state="visible" name="VIMARKET" sheetId="6" r:id="rId9"/>
    <sheet state="visible" name="COMICOLA" sheetId="7" r:id="rId10"/>
    <sheet state="visible" name="CỎ MỀM" sheetId="8" r:id="rId11"/>
    <sheet state="visible" name="THÁI MINH" sheetId="9" r:id="rId12"/>
    <sheet state="visible" name="SFUND" sheetId="10" r:id="rId13"/>
    <sheet state="visible" name="S3TECH" sheetId="11" r:id="rId14"/>
    <sheet state="visible" name="HSTDT-VINADES" sheetId="12" r:id="rId15"/>
    <sheet state="visible" name="DIGIBANK SOLUTIONS" sheetId="13" r:id="rId16"/>
    <sheet state="visible" name="MIOTO ASIA" sheetId="14" r:id="rId17"/>
    <sheet state="visible" name="FRESHDI" sheetId="15" r:id="rId18"/>
    <sheet state="visible" name="SECOMM" sheetId="16" r:id="rId19"/>
    <sheet state="visible" name="SECOMUS" sheetId="17" r:id="rId20"/>
    <sheet state="visible" name="UPPROMOTE" sheetId="18" r:id="rId21"/>
    <sheet state="visible" name="TUGO" sheetId="19" r:id="rId22"/>
    <sheet state="visible" name="CÔNG NGHỆ D2M" sheetId="20" r:id="rId23"/>
    <sheet state="visible" name="VNP GROUP" sheetId="21" r:id="rId24"/>
    <sheet state="visible" name="FINSIFY" sheetId="22" r:id="rId25"/>
    <sheet state="visible" name="CITICS" sheetId="23" r:id="rId26"/>
    <sheet state="visible" name="VNEXT" sheetId="24" r:id="rId27"/>
    <sheet state="visible" name="ELTON DATA" sheetId="25" r:id="rId28"/>
    <sheet state="visible" name="TINH TẾ" sheetId="26" r:id="rId29"/>
    <sheet state="visible" name="KIAISOFT" sheetId="27" r:id="rId30"/>
    <sheet state="visible" name="GSI" sheetId="28" r:id="rId31"/>
    <sheet state="visible" name="SEMTEK" sheetId="29" r:id="rId32"/>
    <sheet state="visible" name="EPLUGIN" sheetId="30" r:id="rId33"/>
    <sheet state="visible" name="ZODINET" sheetId="31" r:id="rId34"/>
    <sheet state="visible" name="AHAMOVE" sheetId="32" r:id="rId35"/>
    <sheet state="visible" name="NIỀM VUI" sheetId="33" r:id="rId36"/>
    <sheet state="visible" name="JITS INNOVATION LABS" sheetId="34" r:id="rId37"/>
    <sheet state="visible" name="DIGIBIRD" sheetId="35" r:id="rId38"/>
    <sheet state="visible" name="BÁCH DUY" sheetId="36" r:id="rId39"/>
    <sheet state="visible" name="ICTS" sheetId="37" r:id="rId40"/>
    <sheet state="visible" name="HOLOMIA" sheetId="38" r:id="rId41"/>
    <sheet state="visible" name="SZEN7" sheetId="39" r:id="rId42"/>
    <sheet state="visible" name="ACTLIFE" sheetId="40" r:id="rId43"/>
    <sheet state="visible" name="ONADS" sheetId="41" r:id="rId44"/>
    <sheet state="visible" name="TOUR CHAIN" sheetId="42" r:id="rId45"/>
    <sheet state="visible" name="YOUPASS" sheetId="43" r:id="rId46"/>
    <sheet state="visible" name="GALAXY TECHNOLOGY" sheetId="44" r:id="rId47"/>
    <sheet state="visible" name="ATS" sheetId="45" r:id="rId48"/>
    <sheet state="visible" name="ANVITEQ" sheetId="46" r:id="rId49"/>
    <sheet state="visible" name="ROI" sheetId="47" r:id="rId50"/>
    <sheet state="visible" name="AGAPISC" sheetId="48" r:id="rId51"/>
    <sheet state="visible" name="HAMSA" sheetId="49" r:id="rId52"/>
    <sheet state="visible" name="AGAPIOC" sheetId="50" r:id="rId53"/>
    <sheet state="visible" name="CNS" sheetId="51" r:id="rId54"/>
    <sheet state="visible" name="VARMETA" sheetId="52" r:id="rId55"/>
    <sheet state="visible" name="VIETFIRE" sheetId="53" r:id="rId56"/>
    <sheet state="visible" name="SO9" sheetId="54" r:id="rId57"/>
    <sheet state="visible" name="TIPO" sheetId="55" r:id="rId58"/>
    <sheet state="visible" name="KOUNSELLY JSC" sheetId="56" r:id="rId59"/>
  </sheets>
  <definedNames/>
  <calcPr/>
</workbook>
</file>

<file path=xl/sharedStrings.xml><?xml version="1.0" encoding="utf-8"?>
<sst xmlns="http://schemas.openxmlformats.org/spreadsheetml/2006/main" count="10069" uniqueCount="196">
  <si>
    <t>TỔNG HỢP CHI PHÍ DIGITALOCEAN - INTERSPACE</t>
  </si>
  <si>
    <t>TỔNG HỢP CHI PHÍ DIGITALOCEAN - MOG</t>
  </si>
  <si>
    <t>TỔNG HỢP CHI PHÍ DIGITALOCEAN - ADAMO SOFTWARE</t>
  </si>
  <si>
    <t>TỔNG HỢP CHI PHÍ DIGITALOCEAN - TECHPROFIT</t>
  </si>
  <si>
    <t>STT</t>
  </si>
  <si>
    <t>ID</t>
  </si>
  <si>
    <t>Tháng</t>
  </si>
  <si>
    <t>Billing (USD)</t>
  </si>
  <si>
    <t>Tỷ giá</t>
  </si>
  <si>
    <t>Thành tiền</t>
  </si>
  <si>
    <t>Billing DO (USD)</t>
  </si>
  <si>
    <t>Discount (10%)</t>
  </si>
  <si>
    <t>Tax, Fee</t>
  </si>
  <si>
    <t>Lượng dùng thực tế (USD)</t>
  </si>
  <si>
    <t>Thuế GTGT</t>
  </si>
  <si>
    <t>do:team:8f60c14bf36c435037ccc056ada56db56b34d47c</t>
  </si>
  <si>
    <t>Tổng số tiền phải thanh toán</t>
  </si>
  <si>
    <t>do:team:734bd602e3bcea0693a5728221855eec703b8e3c</t>
  </si>
  <si>
    <t>do:team:533530fb6abcc2564ba271556a22c4a477e2e641</t>
  </si>
  <si>
    <t xml:space="preserve">Tax, Fee </t>
  </si>
  <si>
    <t>do:team:8b9ef30196512a1ce45dc6a1a8ebee84e1c226da</t>
  </si>
  <si>
    <t>Giá trước chiết khấu ( bao gồm 5.26% phí dịch vụ)</t>
  </si>
  <si>
    <t>Tổng cộng</t>
  </si>
  <si>
    <t>Chiết khấu (7%)</t>
  </si>
  <si>
    <t>Chiết khấu (10%)</t>
  </si>
  <si>
    <t>do:team:55220d7107022658619a5d3e9c0e4aa3c5aae0b4</t>
  </si>
  <si>
    <t>Thuế GTGT 10%</t>
  </si>
  <si>
    <t>Giảm trừ số trả thừa tháng 06/2024</t>
  </si>
  <si>
    <t>Thành tiền sau giảm trừ</t>
  </si>
  <si>
    <t>ĐỐI SOÁT CHI PHÍ DIGITALOCEAN - MOG</t>
  </si>
  <si>
    <t>ĐỐI SOÁT CHI PHÍ DIGITALOCEAN - ADAMO SOFTWARE</t>
  </si>
  <si>
    <t>ĐỐI SOÁT CHI PHÍ DIGITALOCEAN - TECHPROFIT</t>
  </si>
  <si>
    <t>Giá trước chiết khấu ( bao gồm 10% phí dịch vụ)</t>
  </si>
  <si>
    <t>ĐỐI SOÁT CHI PHÍ DIGITALOCEAN - INTERSPACE</t>
  </si>
  <si>
    <t>Chiết khấu (12%)</t>
  </si>
  <si>
    <t>ĐỐI SOÁT CHI PHÍ DIGITALOCEAN - TECHPROFIT2</t>
  </si>
  <si>
    <t>TỔNG HỢP CHI PHÍ DIGITALOCEAN - VIMARKET</t>
  </si>
  <si>
    <t>TỔNG HỢP CHI PHÍ DIGITALOCEAN - ADFLEX</t>
  </si>
  <si>
    <t>do:team:bdd4124f3c58097d2ae9709e4749ba7bc4151c48</t>
  </si>
  <si>
    <t>do:team:20b92be0104053d1ab395bab2cd9a8d9f684206a</t>
  </si>
  <si>
    <t>TỔNG HỢP CHI PHÍ DIGITALOCEAN - COMICOLA</t>
  </si>
  <si>
    <t>do:team:2aa5278874e03cf9db9e4c70d019fdf32260b3db</t>
  </si>
  <si>
    <t>Chiết khấu (11%)</t>
  </si>
  <si>
    <t>ĐỐI SOÁT CHI PHÍ DIGITALOCEAN - VIMARKET</t>
  </si>
  <si>
    <t>ĐỐI SOÁT CHI PHÍ DIGITALOCEAN - ADFLEX</t>
  </si>
  <si>
    <t>ĐỐI SOÁT CHI PHÍ DIGITALOCEAN - COMICOLA</t>
  </si>
  <si>
    <t>TỔNG HỢP CHI PHÍ DIGITALOCEAN - CỎ MỀM</t>
  </si>
  <si>
    <t>do:team:3d54f2f86f8d174c06160508364bbcf020be0c39</t>
  </si>
  <si>
    <t>TỔNG HỢP CHI PHÍ DIGITALOCEAN - THÁI MINH</t>
  </si>
  <si>
    <t>do:team:7ec03ad208aec41caab67a276e601aa926b48a07</t>
  </si>
  <si>
    <t>ĐỐI SOÁT CHI PHÍ DIGITALOCEAN - CỎ MỀM</t>
  </si>
  <si>
    <t>ĐỐI SOÁT CHI PHÍ DIGITALOCEAN - THÁI MINH</t>
  </si>
  <si>
    <t>TỔNG HỢP CHI PHÍ DIGITALOCEAN - SFUND GLOBAL</t>
  </si>
  <si>
    <t>do:team:ba246a9ad4b083c77c1cc7818458f769014ba40d</t>
  </si>
  <si>
    <t>TỔNG HỢP CHI PHÍ DIGITALOCEAN - S3TECH</t>
  </si>
  <si>
    <t>do:team:cde6aafc-230e-440c-8351-08831d5ef73c</t>
  </si>
  <si>
    <t>ĐỐI SOÁT CHI PHÍ DIGITALOCEAN - SFUND GLOBAL</t>
  </si>
  <si>
    <t>ĐỐI SOÁT CHI PHÍ DIGITALOCEAN - S3TECH</t>
  </si>
  <si>
    <t>ĐỐI SOÁT CHI PHÍ DIGITALOCEAN - SFUND</t>
  </si>
  <si>
    <t>TỔNG HỢP CHI PHÍ DIGITALOCEAN - VINADES</t>
  </si>
  <si>
    <t>do:team:59b285b240f3c62d65a8d77a027a9d309664e3f1</t>
  </si>
  <si>
    <t>ĐỐI SOÁT CHI PHÍ DIGITALOCEAN - VINADES</t>
  </si>
  <si>
    <t>ĐỐI SOÁT CHI PHÍ DIGITALOCEAN - DIGIBANK SOLUTIONS</t>
  </si>
  <si>
    <t>do:team:1ddfee7e3f1c192e3b576dd06e5aa4544ae917e3</t>
  </si>
  <si>
    <t>Giá trước chiết khấu (bao gồm 10% phí dịch vụ)</t>
  </si>
  <si>
    <t>ĐỐI SOÁT CHI PHÍ DIGITALOCEAN - MIOTO ASIA</t>
  </si>
  <si>
    <t>do:team:e79ef94c87d53b8339b0480fd9ca2c50b8518cbe</t>
  </si>
  <si>
    <t>ĐỐI SOÁT CHI PHÍ DIGITALOCEAN - FRESHDI</t>
  </si>
  <si>
    <t>do:team:7d747c52-5f0c-4ad3-a83f-026656105c8c</t>
  </si>
  <si>
    <t>ĐỐI SOÁT CHI PHÍ DIGITALOCEAN - SECOMM</t>
  </si>
  <si>
    <t>do:team:0cf0154b6557be47331d0f041c588ad7215e10d2</t>
  </si>
  <si>
    <t>ĐỐI SOÁT CHI PHÍ DIGITALOCEAN - SECOMUS</t>
  </si>
  <si>
    <t>do:team:5e7b8866d3a3d631eb9e25232d8d3c80d982bfd2</t>
  </si>
  <si>
    <t>Service Name</t>
  </si>
  <si>
    <t>Service Fee</t>
  </si>
  <si>
    <t>Container Registry</t>
  </si>
  <si>
    <t>Droplet Backups</t>
  </si>
  <si>
    <t>Droplet Snapshots</t>
  </si>
  <si>
    <t xml:space="preserve">Droplets </t>
  </si>
  <si>
    <t>GPU Droplets</t>
  </si>
  <si>
    <t xml:space="preserve">Kubernetes </t>
  </si>
  <si>
    <t xml:space="preserve">LBaaS </t>
  </si>
  <si>
    <t>Spaces</t>
  </si>
  <si>
    <t>Spaces Bandwidth</t>
  </si>
  <si>
    <t>VPC Peering Bandwidth</t>
  </si>
  <si>
    <t>Volume Snapshots</t>
  </si>
  <si>
    <t>Volumes</t>
  </si>
  <si>
    <t>Total Service Fee</t>
  </si>
  <si>
    <t>Tổng cộng (USD)</t>
  </si>
  <si>
    <t>Thành tiền (VND)</t>
  </si>
  <si>
    <t>Thuế GTGT 10% (VND)</t>
  </si>
  <si>
    <t>Tổng số tiền phải thanh toán (VND)</t>
  </si>
  <si>
    <t>ĐỐI SOÁT CHI PHÍ DIGITALOCEAN - TUGO</t>
  </si>
  <si>
    <t>do:team:9a5c883e650a8229101d8973790ef02a8124fb0c</t>
  </si>
  <si>
    <t>Droplets</t>
  </si>
  <si>
    <t>Kubernetes</t>
  </si>
  <si>
    <t>LBaaS</t>
  </si>
  <si>
    <t>Credit</t>
  </si>
  <si>
    <t>ĐỐI SOÁT CHI PHÍ DIGITALOCEAN - CÔNG NGHỆ D2M</t>
  </si>
  <si>
    <t>do:team:4c50d09b-1da1-4a1a-95ba-d6beb7c9ffe0</t>
  </si>
  <si>
    <t>ĐỐI SOÁT CHI PHÍ DIGITALOCEAN - VNP GROUP</t>
  </si>
  <si>
    <t>do:team:99092ed656b4df2f8dd66018aa3468425cb3f5ae</t>
  </si>
  <si>
    <t>ĐỐI SOÁT CHI PHÍ DIGITALOCEAN - FINSIFY</t>
  </si>
  <si>
    <t>do:team:20e53a565616309148c31012695cf28a984ba152</t>
  </si>
  <si>
    <t>Phí dịch vụ (5.26%)</t>
  </si>
  <si>
    <t>ĐỐI SOÁT CHI PHÍ DIGITALOCEAN - CITICS</t>
  </si>
  <si>
    <t>Phí dịch vụ (10%)</t>
  </si>
  <si>
    <t>do:team:05b457791c2fd691a5cac936dd38b741c6d1cae2</t>
  </si>
  <si>
    <t>ĐỐI SOÁT CHI PHÍ DIGITALOCEAN - VNEXT</t>
  </si>
  <si>
    <t>do:team:133cd736adcaa0b6840ce83d68448c8a3aa7005c</t>
  </si>
  <si>
    <t>ĐỐI SOÁT CHI PHÍ DIGITALOCEAN - ELTON DATA</t>
  </si>
  <si>
    <t>ĐỐI SOÁT CHI PHÍ DIGITALOCEAN - TINH TẾ</t>
  </si>
  <si>
    <t>do:team:db9661539503d7db9f39a5e8ded2980853c129fa</t>
  </si>
  <si>
    <t xml:space="preserve"> Chiết khấu (10%)</t>
  </si>
  <si>
    <t>ĐỐI SOÁT CHI PHÍ DIGITALOCEAN - KIAISOFT</t>
  </si>
  <si>
    <t>do:team:ec516265c9ad6d3fe6f08a1e981e69b0d749d3dd</t>
  </si>
  <si>
    <t>ĐỐI SOÁT CHI PHÍ DIGITALOCEAN - GSI</t>
  </si>
  <si>
    <t>do:team:0de5bf84-f100-437e-a12c-85fc8b869abe</t>
  </si>
  <si>
    <t>ĐỐI SOÁT CHI PHÍ DIGITALOCEAN - SEMTEK</t>
  </si>
  <si>
    <t xml:space="preserve">ĐỐI SOÁT CHI PHÍ DIGITALOCEAN - EPLUGIN </t>
  </si>
  <si>
    <t>do:team:c46f916c-61c2-4517-bcb7-823e595336f5</t>
  </si>
  <si>
    <t>do:team:0dfbb7fa62c578a19da872d5156f8342c080c1f6</t>
  </si>
  <si>
    <t>ĐỐI SOÁT CHI PHÍ DIGITALOCEAN - ZODINET</t>
  </si>
  <si>
    <t>do:team:f04dd288-7728-4ca9-a00e-551e403d0081</t>
  </si>
  <si>
    <t>ĐỐI SOÁT CHI PHÍ DIGITALOCEAN - AHAMOVE</t>
  </si>
  <si>
    <t>do:team:52b32b2c96bd7a492cc5762c0caefc403ffa85d6</t>
  </si>
  <si>
    <t xml:space="preserve"> Chiết khấu (12%)</t>
  </si>
  <si>
    <t>ĐỐI SOÁT CHI PHÍ DIGITALOCEAN - JOYBIT</t>
  </si>
  <si>
    <t>do:team:b498565f7890e7b569320248fa5f4aca47561ef5</t>
  </si>
  <si>
    <t>ĐỐI SOÁT CHI PHÍ DIGITALOCEAN - JITS INNOVATION LABS</t>
  </si>
  <si>
    <t>do:team:474d5874473b237aeb4bbf4becceb2d4f14f2a33</t>
  </si>
  <si>
    <t>ĐỐI SOÁT CHI PHÍ DIGITALOCEAN - NIỀM VUI</t>
  </si>
  <si>
    <t>ĐỐI SOÁT CHI PHÍ DIGITALOCEAN - DIGIBIRD</t>
  </si>
  <si>
    <t>do:team:3543f5bc-78f7-4747-94b2-76a1cea56c30</t>
  </si>
  <si>
    <t>Phí dịch vụ (5.88%)</t>
  </si>
  <si>
    <t>ĐỐI SOÁT CHI PHÍ DIGITALOCEAN - BÁCH DUY</t>
  </si>
  <si>
    <t>do:team:cb95a62c-1511-45f4-9aca-894966a8c9c6</t>
  </si>
  <si>
    <t>ĐỐI SOÁT CHI PHÍ DIGITALOCEAN - ICTS</t>
  </si>
  <si>
    <t>do:team:1da23029c2ff1918af698ba09d4220b9037a2b55</t>
  </si>
  <si>
    <t>ĐỐI SOÁT CHI PHÍ DIGITALOCEAN - HOLOMIA</t>
  </si>
  <si>
    <t>do:team:15aefae8-fed0-4305-90ee-f3259eb9ad03</t>
  </si>
  <si>
    <t>ĐỐI SOÁT CHI PHÍ DIGITALOCEAN - SZEN7</t>
  </si>
  <si>
    <t>do:team:eb3f34bc-d632-4c52-93a4-b53c36059428</t>
  </si>
  <si>
    <t>ĐỐI SOÁT CHI PHÍ DIGITALOCEAN - ACTLIFE</t>
  </si>
  <si>
    <t>do:team:d8175e79-ec6e-4d94-97c7-b3fa63f26035</t>
  </si>
  <si>
    <t>ĐỐI SOÁT CHI PHÍ DIGITALOCEAN - ONADS</t>
  </si>
  <si>
    <t>do:team:03275e99e0093c1c0bec70e39159f94d5fdad9a2</t>
  </si>
  <si>
    <t>ĐỐI SOÁT CHI PHÍ DIGITALOCEAN - TOUR CHAIN</t>
  </si>
  <si>
    <t>do:team:f0f7388ed4f4f48c3a9b371ee5f506c484754083</t>
  </si>
  <si>
    <t>ĐỐI SOÁT CHI PHÍ DIGITALOCEAN - YOUPASS</t>
  </si>
  <si>
    <t>Số tiền đã trả trước</t>
  </si>
  <si>
    <t>do:team:73b87c0f58114fef9339686982e6b9a8</t>
  </si>
  <si>
    <t>Số tiền trả trước còn lại chuyển tháng sau</t>
  </si>
  <si>
    <t>ĐỐI SOÁT CHI PHÍ DIGITALOCEAN - ONADS THÁNG 03/2026</t>
  </si>
  <si>
    <t>do:team:858f6c5d-ebe6-4755-93db-150a9679fba4</t>
  </si>
  <si>
    <t>ĐỐI SOÁT CHI PHÍ DIGITALOCEAN - ONADS THÁNG 04/2026</t>
  </si>
  <si>
    <t>TỔNG HỢP THANH TOÁN CHI PHÍ ACTLIFE</t>
  </si>
  <si>
    <t>Ngày ĐNTT</t>
  </si>
  <si>
    <t>Ngày trả trước</t>
  </si>
  <si>
    <t>Số hoá đơn</t>
  </si>
  <si>
    <t>Số tiền trả trước còn lại (VND)</t>
  </si>
  <si>
    <t>Tháng sử dụng</t>
  </si>
  <si>
    <t>Chi phí DO (VND)</t>
  </si>
  <si>
    <t>26/03/2026</t>
  </si>
  <si>
    <t>ĐỐI SOÁT CHI PHÍ DIGITALOCEAN - ONADS THÁNG 05/2026</t>
  </si>
  <si>
    <t>30/03/2026</t>
  </si>
  <si>
    <t>00001047</t>
  </si>
  <si>
    <t>ĐỐI SOÁT CHI PHÍ DIGITALOCEAN - ONADS THÁNG 06/2026</t>
  </si>
  <si>
    <t>ĐỐI SOÁT CHI PHÍ DIGITALOCEAN - ONADS THÁNG 07/2026</t>
  </si>
  <si>
    <t>ĐỐI SOÁT CHI PHÍ DIGITALOCEAN - GALAXY TECHNOLOGY</t>
  </si>
  <si>
    <t>do:team:c753ca9b-f305-4d99-8187-3f6f9684ae02</t>
  </si>
  <si>
    <t>ĐỐI SOÁT CHI PHÍ DIGITALOCEAN - ATS</t>
  </si>
  <si>
    <t>do:teamgroup:fe2cea89-3e90-4811-aca5-8cfddceb5d8d</t>
  </si>
  <si>
    <t>ĐỐI SOÁT CHI PHÍ DIGITALOCEAN - ANVITEQ</t>
  </si>
  <si>
    <t>do:teamgroup:b74f6c3b-7384-453b-8315-d9c17343b6f2</t>
  </si>
  <si>
    <t>ĐỐI SOÁT CHI PHÍ DIGITALOCEAN - ROI</t>
  </si>
  <si>
    <t>do:team:b3bf8cb2-6761-4e61-8302-40fd02024e66</t>
  </si>
  <si>
    <t>ĐỐI SOÁT CHI PHÍ DIGITALOCEAN - AGAPISC</t>
  </si>
  <si>
    <t>do:team:ab39547ce1773178835f64846644abc301929cee</t>
  </si>
  <si>
    <t>ĐỐI SOÁT CHI PHÍ DIGITALOCEAN - AGAPIOC</t>
  </si>
  <si>
    <t>ĐỐI SOÁT CHI PHÍ DIGITALOCEAN - HAMSA</t>
  </si>
  <si>
    <t>do:team:114f28d9-2f5b-401d-b668-90ce62fda6d7</t>
  </si>
  <si>
    <t>do:team:12be1a4b6253c3abe67cf47b3b64e7564d689377</t>
  </si>
  <si>
    <t>ĐỐI SOÁT CHI PHÍ DIGITALOCEAN - CNS</t>
  </si>
  <si>
    <t>do:team:069c24f9-afa0-4f19-a1f7-d5f002643c99</t>
  </si>
  <si>
    <t>ĐỐI SOÁT CHI PHÍ DIGITALOCEAN - VARMETA</t>
  </si>
  <si>
    <t>do:team:11195a86-ef64-4178-8686-3ec32e2d1ad4</t>
  </si>
  <si>
    <t>TỔNG HỢP CHI PHÍ DIGITALOCEAN - VIETFIRE</t>
  </si>
  <si>
    <t>do:team:b091ea2e-5ec4-49ed-bbde-59154e9440d9</t>
  </si>
  <si>
    <t>ĐỐI SOÁT CHI PHÍ DIGITALOCEAN - SO9</t>
  </si>
  <si>
    <t>do:team:3366238b-6706-425a-bb37-34e84dfebe00</t>
  </si>
  <si>
    <t>ĐỐI SOÁT CHI PHÍ DIGITALOCEAN - TIPO</t>
  </si>
  <si>
    <t>ĐỐI SOÁT CHI PHÍ DIGITALOCEAN - KOUNSELLY JSC</t>
  </si>
  <si>
    <t>do:team:7e89ef4ce67240a1b5202981153749ccfb39903d</t>
  </si>
  <si>
    <t>do:team:623cce13-60fc-4323-8da4-0e524a14599a</t>
  </si>
  <si>
    <t>ĐỐI SOÁT CHI PHÍ DIGITALOCEAN - VIETFIRE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</si>
</sst>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yyyy"/>
    <numFmt numFmtId="165" formatCode="m/yyyy"/>
    <numFmt numFmtId="166" formatCode="&quot;$&quot;#,##0.00"/>
    <numFmt numFmtId="167" formatCode="#,##0[$ ₫]"/>
    <numFmt numFmtId="168" formatCode="#,##0[$ đ]"/>
  </numFmts>
  <fonts count="16">
    <font>
      <sz val="10.0"/>
      <color rgb="FF000000"/>
      <name val="Arial"/>
    </font>
    <font>
      <sz val="20.0"/>
      <color rgb="FF000000"/>
      <name val="&quot;Times New Roman&quot;"/>
    </font>
    <font>
      <sz val="20.0"/>
      <color rgb="FF000000"/>
      <name val="Times New Roman"/>
    </font>
    <font>
      <sz val="11.0"/>
      <color rgb="FF000000"/>
      <name val="&quot;Times New Roman&quot;"/>
    </font>
    <font>
      <name val="Arial"/>
    </font>
    <font/>
    <font>
      <b/>
      <sz val="13.0"/>
      <color rgb="FF000000"/>
      <name val="&quot;Times New Roman&quot;"/>
    </font>
    <font>
      <b/>
      <sz val="13.0"/>
      <color rgb="FF000000"/>
      <name val="Times New Roman"/>
    </font>
    <font>
      <sz val="13.0"/>
      <color rgb="FF000000"/>
      <name val="&quot;Times New Roman&quot;"/>
    </font>
    <font>
      <sz val="13.0"/>
      <color rgb="FF000000"/>
      <name val="Times New Roman"/>
    </font>
    <font>
      <sz val="13.0"/>
      <name val="Times New Roman"/>
    </font>
    <font>
      <sz val="13.0"/>
      <name val="Arial"/>
    </font>
    <font>
      <b/>
      <sz val="13.0"/>
    </font>
    <font>
      <b/>
      <sz val="13.0"/>
      <name val="Times New Roman"/>
    </font>
    <font>
      <sz val="12.0"/>
      <name val="&quot;Proxima Nova&quot;"/>
    </font>
    <font>
      <sz val="12.0"/>
      <name val="Inheri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2" fontId="4" numFmtId="0" xfId="0" applyBorder="1" applyFill="1" applyFont="1"/>
    <xf borderId="0" fillId="0" fontId="5" numFmtId="0" xfId="0" applyAlignment="1" applyFont="1">
      <alignment shrinkToFit="0" vertical="center" wrapText="1"/>
    </xf>
    <xf borderId="2" fillId="0" fontId="6" numFmtId="0" xfId="0" applyAlignment="1" applyBorder="1" applyFont="1">
      <alignment horizontal="center" readingOrder="0" vertical="center"/>
    </xf>
    <xf borderId="2" fillId="2" fontId="7" numFmtId="0" xfId="0" applyAlignment="1" applyBorder="1" applyFill="1" applyFont="1">
      <alignment horizontal="center"/>
    </xf>
    <xf borderId="2" fillId="0" fontId="6" numFmtId="0" xfId="0" applyAlignment="1" applyBorder="1" applyFont="1">
      <alignment horizontal="center" readingOrder="0" shrinkToFit="0" vertical="center" wrapText="1"/>
    </xf>
    <xf borderId="2" fillId="2" fontId="7" numFmtId="0" xfId="0" applyAlignment="1" applyBorder="1" applyFill="1" applyFont="1">
      <alignment horizontal="center" readingOrder="0"/>
    </xf>
    <xf borderId="2" fillId="0" fontId="8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1"/>
    </xf>
    <xf borderId="3" fillId="0" fontId="9" numFmtId="0" xfId="0" applyAlignment="1" applyBorder="1" applyFont="1">
      <alignment horizontal="center" readingOrder="0" vertical="bottom"/>
    </xf>
    <xf borderId="2" fillId="2" fontId="9" numFmtId="0" xfId="0" applyAlignment="1" applyBorder="1" applyFill="1" applyFont="1">
      <alignment horizontal="center"/>
    </xf>
    <xf borderId="2" fillId="0" fontId="8" numFmtId="0" xfId="0" applyAlignment="1" applyBorder="1" applyFont="1">
      <alignment horizontal="center" readingOrder="0" shrinkToFit="0" vertical="center" wrapText="1"/>
    </xf>
    <xf borderId="2" fillId="2" fontId="9" numFmtId="0" xfId="0" applyAlignment="1" applyBorder="1" applyFill="1" applyFont="1">
      <alignment horizontal="center" readingOrder="0" shrinkToFit="0" wrapText="1"/>
    </xf>
    <xf borderId="3" fillId="0" fontId="9" numFmtId="164" xfId="0" applyAlignment="1" applyBorder="1" applyFont="1" applyNumberFormat="1">
      <alignment horizontal="center" readingOrder="0" vertical="bottom"/>
    </xf>
    <xf borderId="2" fillId="2" fontId="9" numFmtId="165" xfId="0" applyAlignment="1" applyBorder="1" applyFill="1" applyFont="1" applyNumberFormat="1">
      <alignment horizontal="center" readingOrder="0"/>
    </xf>
    <xf borderId="2" fillId="0" fontId="8" numFmtId="164" xfId="0" applyAlignment="1" applyBorder="1" applyFont="1" applyNumberFormat="1">
      <alignment horizontal="center" readingOrder="0" shrinkToFit="0" vertical="center" wrapText="0"/>
    </xf>
    <xf borderId="2" fillId="0" fontId="9" numFmtId="166" xfId="0" applyAlignment="1" applyBorder="1" applyFont="1" applyNumberFormat="1">
      <alignment horizontal="center" readingOrder="0" vertical="center"/>
    </xf>
    <xf borderId="2" fillId="2" fontId="9" numFmtId="166" xfId="0" applyAlignment="1" applyBorder="1" applyFill="1" applyFont="1" applyNumberFormat="1">
      <alignment horizontal="center" readingOrder="0"/>
    </xf>
    <xf borderId="2" fillId="0" fontId="8" numFmtId="166" xfId="0" applyAlignment="1" applyBorder="1" applyFont="1" applyNumberFormat="1">
      <alignment horizontal="center" readingOrder="0" shrinkToFit="0" vertical="center" wrapText="0"/>
    </xf>
    <xf borderId="3" fillId="0" fontId="9" numFmtId="167" xfId="0" applyAlignment="1" applyBorder="1" applyFont="1" applyNumberFormat="1">
      <alignment horizontal="center" readingOrder="0" vertical="bottom"/>
    </xf>
    <xf borderId="2" fillId="2" fontId="9" numFmtId="167" xfId="0" applyAlignment="1" applyBorder="1" applyFill="1" applyFont="1" applyNumberFormat="1">
      <alignment horizontal="center"/>
    </xf>
    <xf borderId="2" fillId="0" fontId="8" numFmtId="164" xfId="0" applyAlignment="1" applyBorder="1" applyFont="1" applyNumberFormat="1">
      <alignment horizontal="center" readingOrder="0" shrinkToFit="0" vertical="center" wrapText="1"/>
    </xf>
    <xf borderId="2" fillId="0" fontId="8" numFmtId="167" xfId="0" applyAlignment="1" applyBorder="1" applyFont="1" applyNumberFormat="1">
      <alignment horizontal="center" readingOrder="0" shrinkToFit="0" vertical="center" wrapText="0"/>
    </xf>
    <xf borderId="2" fillId="0" fontId="8" numFmtId="166" xfId="0" applyAlignment="1" applyBorder="1" applyFont="1" applyNumberForma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0"/>
    </xf>
    <xf borderId="5" fillId="0" fontId="5" numFmtId="0" xfId="0" applyBorder="1" applyFont="1"/>
    <xf borderId="6" fillId="0" fontId="5" numFmtId="0" xfId="0" applyBorder="1" applyFont="1"/>
    <xf borderId="4" fillId="0" fontId="6" numFmtId="0" xfId="0" applyAlignment="1" applyBorder="1" applyFont="1">
      <alignment horizontal="center" readingOrder="0" vertical="center"/>
    </xf>
    <xf borderId="2" fillId="2" fontId="9" numFmtId="166" xfId="0" applyAlignment="1" applyBorder="1" applyFill="1" applyFont="1" applyNumberFormat="1">
      <alignment horizontal="center"/>
    </xf>
    <xf borderId="2" fillId="0" fontId="8" numFmtId="0" xfId="0" applyAlignment="1" applyBorder="1" applyFont="1">
      <alignment horizontal="center" shrinkToFit="0" vertical="center" wrapText="0"/>
    </xf>
    <xf borderId="2" fillId="2" fontId="10" numFmtId="0" xfId="0" applyBorder="1" applyFill="1" applyFont="1"/>
    <xf borderId="2" fillId="0" fontId="8" numFmtId="167" xfId="0" applyAlignment="1" applyBorder="1" applyFont="1" applyNumberFormat="1">
      <alignment horizontal="center" readingOrder="0" shrinkToFit="0" vertical="center" wrapText="1"/>
    </xf>
    <xf borderId="3" fillId="0" fontId="11" numFmtId="0" xfId="0" applyAlignment="1" applyBorder="1" applyFont="1">
      <alignment vertical="bottom"/>
    </xf>
    <xf borderId="2" fillId="0" fontId="6" numFmtId="166" xfId="0" applyAlignment="1" applyBorder="1" applyFont="1" applyNumberFormat="1">
      <alignment horizontal="center" readingOrder="0" shrinkToFit="0" vertical="center" wrapText="0"/>
    </xf>
    <xf borderId="4" fillId="2" fontId="10" numFmtId="0" xfId="0" applyAlignment="1" applyBorder="1" applyFill="1" applyFont="1">
      <alignment horizontal="center" readingOrder="0"/>
    </xf>
    <xf borderId="2" fillId="0" fontId="6" numFmtId="167" xfId="0" applyAlignment="1" applyBorder="1" applyFont="1" applyNumberFormat="1">
      <alignment horizontal="center" readingOrder="0" shrinkToFit="0" vertical="center" wrapText="0"/>
    </xf>
    <xf borderId="4" fillId="2" fontId="7" numFmtId="0" xfId="0" applyAlignment="1" applyBorder="1" applyFill="1" applyFont="1">
      <alignment horizontal="center" shrinkToFit="0" wrapText="0"/>
    </xf>
    <xf borderId="2" fillId="2" fontId="7" numFmtId="166" xfId="0" applyAlignment="1" applyBorder="1" applyFill="1" applyFont="1" applyNumberFormat="1">
      <alignment horizontal="center"/>
    </xf>
    <xf borderId="2" fillId="2" fontId="7" numFmtId="167" xfId="0" applyAlignment="1" applyBorder="1" applyFill="1" applyFont="1" applyNumberFormat="1">
      <alignment horizontal="center" readingOrder="0"/>
    </xf>
    <xf borderId="2" fillId="2" fontId="7" numFmtId="167" xfId="0" applyAlignment="1" applyBorder="1" applyFill="1" applyFont="1" applyNumberFormat="1">
      <alignment horizontal="center"/>
    </xf>
    <xf borderId="3" fillId="0" fontId="7" numFmtId="167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0" fontId="6" numFmtId="166" xfId="0" applyAlignment="1" applyBorder="1" applyFont="1" applyNumberFormat="1">
      <alignment horizontal="center" readingOrder="0" shrinkToFit="0" vertical="center" wrapText="1"/>
    </xf>
    <xf borderId="2" fillId="0" fontId="6" numFmtId="167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3" fillId="0" fontId="9" numFmtId="0" xfId="0" applyAlignment="1" applyBorder="1" applyFont="1">
      <alignment horizontal="center" readingOrder="0" vertical="center"/>
    </xf>
    <xf borderId="3" fillId="0" fontId="9" numFmtId="164" xfId="0" applyAlignment="1" applyBorder="1" applyFont="1" applyNumberFormat="1">
      <alignment horizontal="center" readingOrder="0" vertical="center"/>
    </xf>
    <xf borderId="3" fillId="0" fontId="9" numFmtId="167" xfId="0" applyAlignment="1" applyBorder="1" applyFont="1" applyNumberFormat="1">
      <alignment horizontal="center" readingOrder="0" vertical="center"/>
    </xf>
    <xf borderId="3" fillId="0" fontId="11" numFmtId="0" xfId="0" applyAlignment="1" applyBorder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9" numFmtId="164" xfId="0" applyAlignment="1" applyBorder="1" applyFont="1" applyNumberFormat="1">
      <alignment horizontal="center" readingOrder="0" shrinkToFit="0" vertical="center" wrapText="1"/>
    </xf>
    <xf borderId="2" fillId="0" fontId="9" numFmtId="166" xfId="0" applyAlignment="1" applyBorder="1" applyFont="1" applyNumberFormat="1">
      <alignment horizontal="center" readingOrder="0" shrinkToFit="0" vertical="center" wrapText="1"/>
    </xf>
    <xf borderId="2" fillId="0" fontId="9" numFmtId="166" xfId="0" applyAlignment="1" applyBorder="1" applyFont="1" applyNumberFormat="1">
      <alignment horizontal="center" shrinkToFit="0" vertical="center" wrapText="1"/>
    </xf>
    <xf borderId="2" fillId="0" fontId="9" numFmtId="167" xfId="0" applyAlignment="1" applyBorder="1" applyFont="1" applyNumberFormat="1">
      <alignment horizontal="center" readingOrder="0" shrinkToFit="0" vertical="center" wrapText="1"/>
    </xf>
    <xf borderId="2" fillId="0" fontId="9" numFmtId="167" xfId="0" applyAlignment="1" applyBorder="1" applyFont="1" applyNumberFormat="1">
      <alignment horizontal="center" shrinkToFit="0" vertical="center" wrapText="1"/>
    </xf>
    <xf borderId="2" fillId="0" fontId="9" numFmtId="164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vertical="center"/>
    </xf>
    <xf borderId="2" fillId="0" fontId="7" numFmtId="166" xfId="0" applyAlignment="1" applyBorder="1" applyFont="1" applyNumberFormat="1">
      <alignment horizontal="center" shrinkToFit="0" vertical="center" wrapText="1"/>
    </xf>
    <xf borderId="2" fillId="0" fontId="4" numFmtId="167" xfId="0" applyAlignment="1" applyBorder="1" applyFont="1" applyNumberFormat="1">
      <alignment vertical="center"/>
    </xf>
    <xf borderId="2" fillId="0" fontId="7" numFmtId="167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2" fillId="0" fontId="7" numFmtId="0" xfId="0" applyAlignment="1" applyBorder="1" applyFont="1">
      <alignment horizontal="center"/>
    </xf>
    <xf borderId="2" fillId="0" fontId="9" numFmtId="0" xfId="0" applyAlignment="1" applyBorder="1" applyFont="1">
      <alignment horizontal="center"/>
    </xf>
    <xf borderId="3" fillId="0" fontId="9" numFmtId="0" xfId="0" applyAlignment="1" applyBorder="1" applyFont="1">
      <alignment horizontal="center" vertical="bottom"/>
    </xf>
    <xf borderId="2" fillId="0" fontId="9" numFmtId="166" xfId="0" applyAlignment="1" applyBorder="1" applyFont="1" applyNumberFormat="1">
      <alignment horizontal="center" readingOrder="0"/>
    </xf>
    <xf borderId="3" fillId="0" fontId="4" numFmtId="167" xfId="0" applyAlignment="1" applyBorder="1" applyFont="1" applyNumberFormat="1">
      <alignment vertical="bottom"/>
    </xf>
    <xf borderId="2" fillId="0" fontId="4" numFmtId="167" xfId="0" applyBorder="1" applyFont="1" applyNumberFormat="1"/>
    <xf borderId="4" fillId="0" fontId="9" numFmtId="0" xfId="0" applyAlignment="1" applyBorder="1" applyFont="1">
      <alignment horizontal="center" readingOrder="0"/>
    </xf>
    <xf borderId="2" fillId="0" fontId="9" numFmtId="166" xfId="0" applyAlignment="1" applyBorder="1" applyFont="1" applyNumberFormat="1">
      <alignment horizontal="center"/>
    </xf>
    <xf borderId="3" fillId="0" fontId="4" numFmtId="0" xfId="0" applyAlignment="1" applyBorder="1" applyFont="1">
      <alignment vertical="bottom"/>
    </xf>
    <xf borderId="4" fillId="0" fontId="9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2" fillId="0" fontId="7" numFmtId="166" xfId="0" applyAlignment="1" applyBorder="1" applyFont="1" applyNumberFormat="1">
      <alignment horizontal="center"/>
    </xf>
    <xf borderId="2" fillId="0" fontId="7" numFmtId="167" xfId="0" applyAlignment="1" applyBorder="1" applyFont="1" applyNumberFormat="1">
      <alignment horizontal="center"/>
    </xf>
    <xf borderId="2" fillId="0" fontId="4" numFmtId="166" xfId="0" applyBorder="1" applyFont="1" applyNumberFormat="1"/>
    <xf borderId="0" fillId="0" fontId="5" numFmtId="0" xfId="0" applyAlignment="1" applyFont="1">
      <alignment readingOrder="0" shrinkToFit="0" vertical="center" wrapText="1"/>
    </xf>
    <xf borderId="3" fillId="0" fontId="7" numFmtId="167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0" fillId="0" fontId="4" numFmtId="0" xfId="0" applyFont="1"/>
    <xf borderId="3" fillId="0" fontId="9" numFmtId="0" xfId="0" applyAlignment="1" applyBorder="1" applyFont="1">
      <alignment horizontal="center"/>
    </xf>
    <xf borderId="3" fillId="0" fontId="9" numFmtId="164" xfId="0" applyAlignment="1" applyBorder="1" applyFont="1" applyNumberFormat="1">
      <alignment horizontal="center" readingOrder="0"/>
    </xf>
    <xf borderId="3" fillId="0" fontId="4" numFmtId="167" xfId="0" applyBorder="1" applyFont="1" applyNumberFormat="1"/>
    <xf borderId="3" fillId="0" fontId="4" numFmtId="0" xfId="0" applyBorder="1" applyFont="1"/>
    <xf borderId="3" fillId="0" fontId="7" numFmtId="167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2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readingOrder="0"/>
    </xf>
    <xf borderId="0" fillId="0" fontId="7" numFmtId="0" xfId="0" applyAlignment="1" applyFont="1">
      <alignment horizontal="center" shrinkToFit="0" vertical="bottom" wrapText="1"/>
    </xf>
    <xf borderId="0" fillId="0" fontId="7" numFmtId="4" xfId="0" applyAlignment="1" applyFont="1" applyNumberFormat="1">
      <alignment horizontal="center" shrinkToFit="0" vertical="bottom" wrapText="1"/>
    </xf>
    <xf borderId="0" fillId="0" fontId="7" numFmtId="4" xfId="0" applyAlignment="1" applyFont="1" applyNumberFormat="1">
      <alignment horizontal="center" readingOrder="0" shrinkToFit="0" vertical="bottom" wrapText="1"/>
    </xf>
    <xf borderId="2" fillId="0" fontId="7" numFmtId="0" xfId="0" applyAlignment="1" applyBorder="1" applyFont="1">
      <alignment horizontal="center" shrinkToFit="0" vertical="bottom" wrapText="1"/>
    </xf>
    <xf borderId="2" fillId="0" fontId="7" numFmtId="4" xfId="0" applyAlignment="1" applyBorder="1" applyFont="1" applyNumberFormat="1">
      <alignment horizontal="center" shrinkToFit="0" vertical="bottom" wrapText="1"/>
    </xf>
    <xf borderId="2" fillId="0" fontId="7" numFmtId="4" xfId="0" applyAlignment="1" applyBorder="1" applyFont="1" applyNumberFormat="1">
      <alignment horizontal="center" readingOrder="0" shrinkToFit="0" vertical="bottom" wrapText="1"/>
    </xf>
    <xf borderId="2" fillId="0" fontId="10" numFmtId="0" xfId="0" applyAlignment="1" applyBorder="1" applyFont="1">
      <alignment horizontal="right" vertical="bottom"/>
    </xf>
    <xf borderId="2" fillId="0" fontId="9" numFmtId="0" xfId="0" applyAlignment="1" applyBorder="1" applyFont="1">
      <alignment readingOrder="0" shrinkToFit="0" vertical="bottom" wrapText="1"/>
    </xf>
    <xf borderId="2" fillId="0" fontId="9" numFmtId="166" xfId="0" applyAlignment="1" applyBorder="1" applyFont="1" applyNumberFormat="1">
      <alignment horizontal="center" shrinkToFit="0" vertical="bottom" wrapText="1"/>
    </xf>
    <xf borderId="0" fillId="0" fontId="5" numFmtId="166" xfId="0" applyAlignment="1" applyFont="1" applyNumberFormat="1">
      <alignment readingOrder="0"/>
    </xf>
    <xf borderId="2" fillId="0" fontId="9" numFmtId="166" xfId="0" applyAlignment="1" applyBorder="1" applyFont="1" applyNumberFormat="1">
      <alignment readingOrder="0" shrinkToFit="0" vertical="bottom" wrapText="1"/>
    </xf>
    <xf borderId="4" fillId="0" fontId="9" numFmtId="4" xfId="0" applyAlignment="1" applyBorder="1" applyFont="1" applyNumberFormat="1">
      <alignment horizontal="center" readingOrder="0" shrinkToFit="0" vertical="bottom" wrapText="1"/>
    </xf>
    <xf borderId="2" fillId="0" fontId="9" numFmtId="166" xfId="0" applyAlignment="1" applyBorder="1" applyFont="1" applyNumberFormat="1">
      <alignment horizontal="center" shrinkToFit="0" vertical="bottom" wrapText="1"/>
    </xf>
    <xf borderId="2" fillId="0" fontId="10" numFmtId="168" xfId="0" applyAlignment="1" applyBorder="1" applyFont="1" applyNumberFormat="1">
      <alignment horizontal="center" readingOrder="0" vertical="bottom"/>
    </xf>
    <xf borderId="2" fillId="0" fontId="13" numFmtId="168" xfId="0" applyAlignment="1" applyBorder="1" applyFont="1" applyNumberFormat="1">
      <alignment horizontal="center" vertical="bottom"/>
    </xf>
    <xf borderId="2" fillId="0" fontId="9" numFmtId="166" xfId="0" applyAlignment="1" applyBorder="1" applyFont="1" applyNumberFormat="1">
      <alignment horizontal="center" readingOrder="0" shrinkToFit="0" vertical="bottom" wrapText="1"/>
    </xf>
    <xf borderId="0" fillId="0" fontId="14" numFmtId="0" xfId="0" applyAlignment="1" applyFont="1">
      <alignment readingOrder="0" shrinkToFit="0" wrapText="0"/>
    </xf>
    <xf borderId="0" fillId="0" fontId="14" numFmtId="166" xfId="0" applyAlignment="1" applyFont="1" applyNumberFormat="1">
      <alignment readingOrder="0" shrinkToFit="0" wrapText="0"/>
    </xf>
    <xf borderId="0" fillId="0" fontId="15" numFmtId="0" xfId="0" applyAlignment="1" applyFont="1">
      <alignment horizontal="center" readingOrder="0" shrinkToFit="0" wrapText="0"/>
    </xf>
    <xf borderId="0" fillId="0" fontId="15" numFmtId="166" xfId="0" applyAlignment="1" applyFont="1" applyNumberFormat="1">
      <alignment readingOrder="0" shrinkToFit="0" wrapText="0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2" fillId="0" fontId="9" numFmtId="167" xfId="0" applyAlignment="1" applyBorder="1" applyFont="1" applyNumberFormat="1">
      <alignment horizontal="center" readingOrder="0" vertical="center"/>
    </xf>
    <xf borderId="2" fillId="0" fontId="6" numFmtId="167" xfId="0" applyAlignment="1" applyBorder="1" applyFont="1" applyNumberFormat="1">
      <alignment horizontal="center" readingOrder="0" vertical="center"/>
    </xf>
    <xf borderId="2" fillId="2" fontId="9" numFmtId="0" xfId="0" applyAlignment="1" applyBorder="1" applyFill="1" applyFont="1">
      <alignment horizontal="center" readingOrder="0"/>
    </xf>
    <xf quotePrefix="1" borderId="2" fillId="2" fontId="9" numFmtId="0" xfId="0" applyAlignment="1" applyBorder="1" applyFill="1" applyFont="1">
      <alignment horizontal="center" readingOrder="0"/>
    </xf>
    <xf borderId="2" fillId="2" fontId="4" numFmtId="0" xfId="0" applyBorder="1" applyFill="1" applyFont="1"/>
    <xf borderId="2" fillId="2" fontId="9" numFmtId="165" xfId="0" applyAlignment="1" applyBorder="1" applyFill="1" applyFont="1" applyNumberFormat="1">
      <alignment horizontal="center"/>
    </xf>
    <xf borderId="2" fillId="2" fontId="4" numFmtId="165" xfId="0" applyBorder="1" applyFill="1" applyFont="1" applyNumberFormat="1"/>
    <xf borderId="2" fillId="2" fontId="4" numFmtId="167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51.63"/>
    <col customWidth="1" min="3" max="3" width="12.5"/>
    <col customWidth="1" min="4" max="4" width="25.75"/>
    <col customWidth="1" min="5" max="5" width="12.13"/>
    <col customWidth="1" min="6" max="6" width="18.25"/>
  </cols>
  <sheetData>
    <row r="1">
      <c r="A1" s="4" t="s">
        <v>3</v>
      </c>
    </row>
    <row r="2">
      <c r="A2" s="7"/>
      <c r="B2" s="7"/>
      <c r="C2" s="7"/>
      <c r="D2" s="7"/>
      <c r="E2" s="7"/>
      <c r="F2" s="7"/>
    </row>
    <row r="3">
      <c r="A3" s="10" t="s">
        <v>4</v>
      </c>
      <c r="B3" s="12" t="s">
        <v>5</v>
      </c>
      <c r="C3" s="12" t="s">
        <v>6</v>
      </c>
      <c r="D3" s="12" t="s">
        <v>13</v>
      </c>
      <c r="E3" s="12" t="s">
        <v>8</v>
      </c>
      <c r="F3" s="12" t="s">
        <v>9</v>
      </c>
    </row>
    <row r="4">
      <c r="A4" s="16">
        <v>1.0</v>
      </c>
      <c r="B4" s="18" t="s">
        <v>18</v>
      </c>
      <c r="C4" s="20">
        <v>45413.0</v>
      </c>
      <c r="D4" s="23">
        <v>326.41</v>
      </c>
      <c r="E4" s="26"/>
      <c r="F4" s="26"/>
    </row>
    <row r="5">
      <c r="A5" s="30" t="s">
        <v>21</v>
      </c>
      <c r="B5" s="31"/>
      <c r="C5" s="32"/>
      <c r="D5" s="34">
        <f>round(D4*(1+5.26%),2)</f>
        <v>343.58</v>
      </c>
      <c r="E5" s="36"/>
      <c r="F5" s="26"/>
    </row>
    <row r="6">
      <c r="A6" s="40" t="s">
        <v>23</v>
      </c>
      <c r="B6" s="31"/>
      <c r="C6" s="32"/>
      <c r="D6" s="34">
        <f>round(D5*7%,2)</f>
        <v>24.05</v>
      </c>
      <c r="E6" s="36"/>
      <c r="F6" s="26"/>
    </row>
    <row r="7">
      <c r="A7" s="42" t="s">
        <v>16</v>
      </c>
      <c r="B7" s="31"/>
      <c r="C7" s="32"/>
      <c r="D7" s="43">
        <f>D5-D6</f>
        <v>319.53</v>
      </c>
      <c r="E7" s="44">
        <v>25474.0</v>
      </c>
      <c r="F7" s="45">
        <f>D7*E7</f>
        <v>8139707.22</v>
      </c>
    </row>
    <row r="11">
      <c r="A11" s="4" t="s">
        <v>3</v>
      </c>
    </row>
    <row r="12">
      <c r="A12" s="7"/>
      <c r="B12" s="7"/>
      <c r="C12" s="7"/>
      <c r="D12" s="7"/>
      <c r="E12" s="7"/>
      <c r="F12" s="7"/>
    </row>
    <row r="13">
      <c r="A13" s="10" t="s">
        <v>4</v>
      </c>
      <c r="B13" s="12" t="s">
        <v>5</v>
      </c>
      <c r="C13" s="12" t="s">
        <v>6</v>
      </c>
      <c r="D13" s="12" t="s">
        <v>13</v>
      </c>
      <c r="E13" s="12" t="s">
        <v>8</v>
      </c>
      <c r="F13" s="12" t="s">
        <v>9</v>
      </c>
    </row>
    <row r="14">
      <c r="A14" s="16">
        <v>1.0</v>
      </c>
      <c r="B14" s="18" t="s">
        <v>18</v>
      </c>
      <c r="C14" s="20">
        <v>45444.0</v>
      </c>
      <c r="D14" s="23">
        <v>326.41</v>
      </c>
      <c r="E14" s="26"/>
      <c r="F14" s="26"/>
    </row>
    <row r="15">
      <c r="A15" s="30" t="s">
        <v>21</v>
      </c>
      <c r="B15" s="31"/>
      <c r="C15" s="32"/>
      <c r="D15" s="34">
        <f>round(D14*(1+5.26%),2)</f>
        <v>343.58</v>
      </c>
      <c r="E15" s="36"/>
      <c r="F15" s="26"/>
    </row>
    <row r="16">
      <c r="A16" s="40" t="s">
        <v>24</v>
      </c>
      <c r="B16" s="31"/>
      <c r="C16" s="32"/>
      <c r="D16" s="34">
        <f>round(D15*10%,2)</f>
        <v>34.36</v>
      </c>
      <c r="E16" s="36"/>
      <c r="F16" s="26"/>
    </row>
    <row r="17">
      <c r="A17" s="33" t="s">
        <v>9</v>
      </c>
      <c r="B17" s="31"/>
      <c r="C17" s="32"/>
      <c r="D17" s="39">
        <f>D15-D16</f>
        <v>309.22</v>
      </c>
      <c r="E17" s="46">
        <v>25405.0</v>
      </c>
      <c r="F17" s="41">
        <f>D17*E17</f>
        <v>7855734.1</v>
      </c>
    </row>
    <row r="18">
      <c r="A18" s="33" t="s">
        <v>27</v>
      </c>
      <c r="B18" s="31"/>
      <c r="C18" s="32"/>
      <c r="D18" s="39"/>
      <c r="E18" s="46"/>
      <c r="F18" s="41">
        <v>262627.0</v>
      </c>
    </row>
    <row r="19">
      <c r="A19" s="33" t="s">
        <v>28</v>
      </c>
      <c r="B19" s="31"/>
      <c r="C19" s="32"/>
      <c r="D19" s="39"/>
      <c r="E19" s="46"/>
      <c r="F19" s="41">
        <f>F17-F18</f>
        <v>7593107.1</v>
      </c>
    </row>
    <row r="20">
      <c r="A20" s="33" t="s">
        <v>26</v>
      </c>
      <c r="B20" s="31"/>
      <c r="C20" s="32"/>
      <c r="D20" s="39"/>
      <c r="E20" s="46"/>
      <c r="F20" s="41">
        <f>round(F19*10%,0)</f>
        <v>759311</v>
      </c>
    </row>
    <row r="21">
      <c r="A21" s="33" t="s">
        <v>16</v>
      </c>
      <c r="B21" s="31"/>
      <c r="C21" s="32"/>
      <c r="D21" s="39"/>
      <c r="E21" s="46"/>
      <c r="F21" s="41">
        <f>F19+F20</f>
        <v>8352418.1</v>
      </c>
    </row>
    <row r="25">
      <c r="A25" s="4" t="s">
        <v>3</v>
      </c>
    </row>
    <row r="26">
      <c r="A26" s="7"/>
      <c r="B26" s="7"/>
      <c r="C26" s="7"/>
      <c r="D26" s="7"/>
      <c r="E26" s="7"/>
      <c r="F26" s="7"/>
    </row>
    <row r="27">
      <c r="A27" s="10" t="s">
        <v>4</v>
      </c>
      <c r="B27" s="12" t="s">
        <v>5</v>
      </c>
      <c r="C27" s="12" t="s">
        <v>6</v>
      </c>
      <c r="D27" s="12" t="s">
        <v>13</v>
      </c>
      <c r="E27" s="12" t="s">
        <v>8</v>
      </c>
      <c r="F27" s="12" t="s">
        <v>9</v>
      </c>
    </row>
    <row r="28">
      <c r="A28" s="16">
        <v>1.0</v>
      </c>
      <c r="B28" s="18" t="s">
        <v>18</v>
      </c>
      <c r="C28" s="20">
        <v>45474.0</v>
      </c>
      <c r="D28" s="23">
        <v>326.41</v>
      </c>
      <c r="E28" s="26"/>
      <c r="F28" s="26"/>
    </row>
    <row r="29">
      <c r="A29" s="30" t="s">
        <v>21</v>
      </c>
      <c r="B29" s="31"/>
      <c r="C29" s="32"/>
      <c r="D29" s="34">
        <f>round(D28*(1+5.26%),2)</f>
        <v>343.58</v>
      </c>
      <c r="E29" s="36"/>
      <c r="F29" s="26"/>
    </row>
    <row r="30">
      <c r="A30" s="40" t="s">
        <v>24</v>
      </c>
      <c r="B30" s="31"/>
      <c r="C30" s="32"/>
      <c r="D30" s="34">
        <f>round(D29*10%,2)</f>
        <v>34.36</v>
      </c>
      <c r="E30" s="36"/>
      <c r="F30" s="26"/>
    </row>
    <row r="31">
      <c r="A31" s="33" t="s">
        <v>9</v>
      </c>
      <c r="B31" s="31"/>
      <c r="C31" s="32"/>
      <c r="D31" s="39">
        <f>D29-D30</f>
        <v>309.22</v>
      </c>
      <c r="E31" s="46">
        <v>25080.0</v>
      </c>
      <c r="F31" s="41">
        <f>D31*E31</f>
        <v>7755237.6</v>
      </c>
    </row>
    <row r="32">
      <c r="A32" s="33" t="s">
        <v>26</v>
      </c>
      <c r="B32" s="31"/>
      <c r="C32" s="32"/>
      <c r="D32" s="39"/>
      <c r="E32" s="46"/>
      <c r="F32" s="41">
        <f>round(F31*10%,0)</f>
        <v>775524</v>
      </c>
    </row>
    <row r="33">
      <c r="A33" s="33" t="s">
        <v>16</v>
      </c>
      <c r="B33" s="31"/>
      <c r="C33" s="32"/>
      <c r="D33" s="39"/>
      <c r="E33" s="46"/>
      <c r="F33" s="41">
        <f>F31+F32</f>
        <v>8530761.6</v>
      </c>
    </row>
    <row r="37">
      <c r="A37" s="4" t="s">
        <v>3</v>
      </c>
    </row>
    <row r="38">
      <c r="A38" s="7"/>
      <c r="B38" s="7"/>
      <c r="C38" s="7"/>
      <c r="D38" s="7"/>
      <c r="E38" s="7"/>
      <c r="F38" s="7"/>
    </row>
    <row r="39">
      <c r="A39" s="10" t="s">
        <v>4</v>
      </c>
      <c r="B39" s="12" t="s">
        <v>5</v>
      </c>
      <c r="C39" s="12" t="s">
        <v>6</v>
      </c>
      <c r="D39" s="12" t="s">
        <v>13</v>
      </c>
      <c r="E39" s="12" t="s">
        <v>8</v>
      </c>
      <c r="F39" s="12" t="s">
        <v>9</v>
      </c>
    </row>
    <row r="40">
      <c r="A40" s="16">
        <v>1.0</v>
      </c>
      <c r="B40" s="18" t="s">
        <v>18</v>
      </c>
      <c r="C40" s="20">
        <v>45536.0</v>
      </c>
      <c r="D40" s="23">
        <v>326.41</v>
      </c>
      <c r="E40" s="26"/>
      <c r="F40" s="26"/>
    </row>
    <row r="41">
      <c r="A41" s="30" t="s">
        <v>21</v>
      </c>
      <c r="B41" s="31"/>
      <c r="C41" s="32"/>
      <c r="D41" s="34">
        <f>round(D40*(1+5.26%),2)</f>
        <v>343.58</v>
      </c>
      <c r="E41" s="36"/>
      <c r="F41" s="26"/>
    </row>
    <row r="42">
      <c r="A42" s="40" t="s">
        <v>24</v>
      </c>
      <c r="B42" s="31"/>
      <c r="C42" s="32"/>
      <c r="D42" s="34">
        <f>round(D41*10%,2)</f>
        <v>34.36</v>
      </c>
      <c r="E42" s="36"/>
      <c r="F42" s="26"/>
    </row>
    <row r="43">
      <c r="A43" s="33" t="s">
        <v>9</v>
      </c>
      <c r="B43" s="31"/>
      <c r="C43" s="32"/>
      <c r="D43" s="39">
        <f>D41-D42</f>
        <v>309.22</v>
      </c>
      <c r="E43" s="46">
        <v>24733.0</v>
      </c>
      <c r="F43" s="41">
        <f>D43*E43</f>
        <v>7647938.26</v>
      </c>
    </row>
    <row r="44">
      <c r="A44" s="33" t="s">
        <v>26</v>
      </c>
      <c r="B44" s="31"/>
      <c r="C44" s="32"/>
      <c r="D44" s="39"/>
      <c r="E44" s="46"/>
      <c r="F44" s="41">
        <f>round(F43*10%,0)</f>
        <v>764794</v>
      </c>
    </row>
    <row r="45">
      <c r="A45" s="33" t="s">
        <v>16</v>
      </c>
      <c r="B45" s="31"/>
      <c r="C45" s="32"/>
      <c r="D45" s="39"/>
      <c r="E45" s="46"/>
      <c r="F45" s="41">
        <f>F43+F44</f>
        <v>8412732.26</v>
      </c>
    </row>
    <row r="51">
      <c r="A51" s="4" t="s">
        <v>3</v>
      </c>
    </row>
    <row r="52">
      <c r="A52" s="7"/>
      <c r="B52" s="7"/>
      <c r="C52" s="7"/>
      <c r="D52" s="7"/>
      <c r="E52" s="7"/>
      <c r="F52" s="7"/>
    </row>
    <row r="53">
      <c r="A53" s="10" t="s">
        <v>4</v>
      </c>
      <c r="B53" s="12" t="s">
        <v>5</v>
      </c>
      <c r="C53" s="12" t="s">
        <v>6</v>
      </c>
      <c r="D53" s="12" t="s">
        <v>13</v>
      </c>
      <c r="E53" s="12" t="s">
        <v>8</v>
      </c>
      <c r="F53" s="12" t="s">
        <v>9</v>
      </c>
    </row>
    <row r="54">
      <c r="A54" s="16">
        <v>1.0</v>
      </c>
      <c r="B54" s="18" t="s">
        <v>18</v>
      </c>
      <c r="C54" s="20">
        <v>45566.0</v>
      </c>
      <c r="D54" s="23">
        <v>326.41</v>
      </c>
      <c r="E54" s="26"/>
      <c r="F54" s="26"/>
    </row>
    <row r="55">
      <c r="A55" s="30" t="s">
        <v>21</v>
      </c>
      <c r="B55" s="31"/>
      <c r="C55" s="32"/>
      <c r="D55" s="34">
        <f>round(D54*(1+5.26%),2)</f>
        <v>343.58</v>
      </c>
      <c r="E55" s="36"/>
      <c r="F55" s="26"/>
    </row>
    <row r="56">
      <c r="A56" s="40" t="s">
        <v>24</v>
      </c>
      <c r="B56" s="31"/>
      <c r="C56" s="32"/>
      <c r="D56" s="34">
        <f>round(D55*10%,2)</f>
        <v>34.36</v>
      </c>
      <c r="E56" s="36"/>
      <c r="F56" s="26"/>
    </row>
    <row r="57">
      <c r="A57" s="33" t="s">
        <v>9</v>
      </c>
      <c r="B57" s="31"/>
      <c r="C57" s="32"/>
      <c r="D57" s="39">
        <f>D55-D56</f>
        <v>309.22</v>
      </c>
      <c r="E57" s="46">
        <v>25445.0</v>
      </c>
      <c r="F57" s="41">
        <f>D57*E57</f>
        <v>7868102.9</v>
      </c>
    </row>
    <row r="58">
      <c r="A58" s="33" t="s">
        <v>26</v>
      </c>
      <c r="B58" s="31"/>
      <c r="C58" s="32"/>
      <c r="D58" s="39"/>
      <c r="E58" s="46"/>
      <c r="F58" s="41">
        <f>round(F57*10%,0)</f>
        <v>786810</v>
      </c>
    </row>
    <row r="59">
      <c r="A59" s="33" t="s">
        <v>16</v>
      </c>
      <c r="B59" s="31"/>
      <c r="C59" s="32"/>
      <c r="D59" s="39"/>
      <c r="E59" s="46"/>
      <c r="F59" s="41">
        <f>F57+F58</f>
        <v>8654912.9</v>
      </c>
    </row>
    <row r="63">
      <c r="A63" s="4" t="s">
        <v>3</v>
      </c>
    </row>
    <row r="64">
      <c r="A64" s="7"/>
      <c r="B64" s="7"/>
      <c r="C64" s="7"/>
      <c r="D64" s="7"/>
      <c r="E64" s="7"/>
      <c r="F64" s="7"/>
    </row>
    <row r="65">
      <c r="A65" s="10" t="s">
        <v>4</v>
      </c>
      <c r="B65" s="12" t="s">
        <v>5</v>
      </c>
      <c r="C65" s="12" t="s">
        <v>6</v>
      </c>
      <c r="D65" s="12" t="s">
        <v>13</v>
      </c>
      <c r="E65" s="12" t="s">
        <v>8</v>
      </c>
      <c r="F65" s="12" t="s">
        <v>9</v>
      </c>
    </row>
    <row r="66">
      <c r="A66" s="16">
        <v>1.0</v>
      </c>
      <c r="B66" s="18" t="s">
        <v>18</v>
      </c>
      <c r="C66" s="20">
        <v>45597.0</v>
      </c>
      <c r="D66" s="23">
        <v>326.41</v>
      </c>
      <c r="E66" s="26"/>
      <c r="F66" s="26"/>
    </row>
    <row r="67">
      <c r="A67" s="30" t="s">
        <v>21</v>
      </c>
      <c r="B67" s="31"/>
      <c r="C67" s="32"/>
      <c r="D67" s="34">
        <f>round(D66*(1+5.26%),2)</f>
        <v>343.58</v>
      </c>
      <c r="E67" s="36"/>
      <c r="F67" s="26"/>
    </row>
    <row r="68">
      <c r="A68" s="40" t="s">
        <v>24</v>
      </c>
      <c r="B68" s="31"/>
      <c r="C68" s="32"/>
      <c r="D68" s="34">
        <f>round(D67*10%,2)</f>
        <v>34.36</v>
      </c>
      <c r="E68" s="36"/>
      <c r="F68" s="26"/>
    </row>
    <row r="69">
      <c r="A69" s="33" t="s">
        <v>9</v>
      </c>
      <c r="B69" s="31"/>
      <c r="C69" s="32"/>
      <c r="D69" s="39">
        <f>D67-D68</f>
        <v>309.22</v>
      </c>
      <c r="E69" s="46">
        <v>25463.0</v>
      </c>
      <c r="F69" s="41">
        <f>D69*E69</f>
        <v>7873668.86</v>
      </c>
    </row>
    <row r="70">
      <c r="A70" s="33" t="s">
        <v>26</v>
      </c>
      <c r="B70" s="31"/>
      <c r="C70" s="32"/>
      <c r="D70" s="39"/>
      <c r="E70" s="46"/>
      <c r="F70" s="41">
        <f>round(F69*10%,0)</f>
        <v>787367</v>
      </c>
    </row>
    <row r="71">
      <c r="A71" s="33" t="s">
        <v>16</v>
      </c>
      <c r="B71" s="31"/>
      <c r="C71" s="32"/>
      <c r="D71" s="39"/>
      <c r="E71" s="46"/>
      <c r="F71" s="41">
        <f>F69+F70</f>
        <v>8661035.86</v>
      </c>
    </row>
    <row r="75">
      <c r="A75" s="4" t="s">
        <v>31</v>
      </c>
    </row>
    <row r="76">
      <c r="A76" s="7"/>
      <c r="B76" s="7"/>
      <c r="C76" s="7"/>
      <c r="D76" s="7"/>
      <c r="E76" s="7"/>
      <c r="F76" s="7"/>
    </row>
    <row r="77">
      <c r="A77" s="10" t="s">
        <v>4</v>
      </c>
      <c r="B77" s="12" t="s">
        <v>5</v>
      </c>
      <c r="C77" s="12" t="s">
        <v>6</v>
      </c>
      <c r="D77" s="12" t="s">
        <v>13</v>
      </c>
      <c r="E77" s="12" t="s">
        <v>8</v>
      </c>
      <c r="F77" s="12" t="s">
        <v>9</v>
      </c>
    </row>
    <row r="78">
      <c r="A78" s="16">
        <v>1.0</v>
      </c>
      <c r="B78" s="18" t="s">
        <v>18</v>
      </c>
      <c r="C78" s="20">
        <v>45627.0</v>
      </c>
      <c r="D78" s="23">
        <v>326.41</v>
      </c>
      <c r="E78" s="26"/>
      <c r="F78" s="26"/>
    </row>
    <row r="79">
      <c r="A79" s="30" t="s">
        <v>21</v>
      </c>
      <c r="B79" s="31"/>
      <c r="C79" s="32"/>
      <c r="D79" s="34">
        <f>round(D78*(1+5.26%),2)</f>
        <v>343.58</v>
      </c>
      <c r="E79" s="36"/>
      <c r="F79" s="26"/>
    </row>
    <row r="80">
      <c r="A80" s="40" t="s">
        <v>24</v>
      </c>
      <c r="B80" s="31"/>
      <c r="C80" s="32"/>
      <c r="D80" s="34">
        <f>round(D79*10%,2)</f>
        <v>34.36</v>
      </c>
      <c r="E80" s="36"/>
      <c r="F80" s="26"/>
    </row>
    <row r="81">
      <c r="A81" s="33" t="s">
        <v>9</v>
      </c>
      <c r="B81" s="31"/>
      <c r="C81" s="32"/>
      <c r="D81" s="39">
        <f>D79-D80</f>
        <v>309.22</v>
      </c>
      <c r="E81" s="46">
        <v>25551.0</v>
      </c>
      <c r="F81" s="41">
        <f>D81*E81</f>
        <v>7900880.22</v>
      </c>
    </row>
    <row r="82">
      <c r="A82" s="33" t="s">
        <v>26</v>
      </c>
      <c r="B82" s="31"/>
      <c r="C82" s="32"/>
      <c r="D82" s="39"/>
      <c r="E82" s="46"/>
      <c r="F82" s="41">
        <f>round(F81*10%,0)</f>
        <v>790088</v>
      </c>
    </row>
    <row r="83">
      <c r="A83" s="33" t="s">
        <v>16</v>
      </c>
      <c r="B83" s="31"/>
      <c r="C83" s="32"/>
      <c r="D83" s="39"/>
      <c r="E83" s="46"/>
      <c r="F83" s="41">
        <f>F81+F82</f>
        <v>8690968.22</v>
      </c>
    </row>
    <row r="87">
      <c r="A87" s="4" t="s">
        <v>31</v>
      </c>
    </row>
    <row r="88">
      <c r="A88" s="7"/>
      <c r="B88" s="7"/>
      <c r="C88" s="7"/>
      <c r="D88" s="7"/>
      <c r="E88" s="7"/>
      <c r="F88" s="7"/>
    </row>
    <row r="89">
      <c r="A89" s="10" t="s">
        <v>4</v>
      </c>
      <c r="B89" s="12" t="s">
        <v>5</v>
      </c>
      <c r="C89" s="12" t="s">
        <v>6</v>
      </c>
      <c r="D89" s="12" t="s">
        <v>13</v>
      </c>
      <c r="E89" s="12" t="s">
        <v>8</v>
      </c>
      <c r="F89" s="12" t="s">
        <v>9</v>
      </c>
    </row>
    <row r="90">
      <c r="A90" s="16">
        <v>1.0</v>
      </c>
      <c r="B90" s="18" t="s">
        <v>18</v>
      </c>
      <c r="C90" s="20">
        <v>45658.0</v>
      </c>
      <c r="D90" s="23">
        <v>326.41</v>
      </c>
      <c r="E90" s="26"/>
      <c r="F90" s="26"/>
    </row>
    <row r="91">
      <c r="A91" s="30" t="s">
        <v>21</v>
      </c>
      <c r="B91" s="31"/>
      <c r="C91" s="32"/>
      <c r="D91" s="34">
        <f>round(D90*(1+5.26%),2)</f>
        <v>343.58</v>
      </c>
      <c r="E91" s="36"/>
      <c r="F91" s="26"/>
    </row>
    <row r="92">
      <c r="A92" s="40" t="s">
        <v>24</v>
      </c>
      <c r="B92" s="31"/>
      <c r="C92" s="32"/>
      <c r="D92" s="34">
        <f>round(D91*10%,2)</f>
        <v>34.36</v>
      </c>
      <c r="E92" s="36"/>
      <c r="F92" s="26"/>
    </row>
    <row r="93">
      <c r="A93" s="33" t="s">
        <v>9</v>
      </c>
      <c r="B93" s="31"/>
      <c r="C93" s="32"/>
      <c r="D93" s="39">
        <f>D91-D92</f>
        <v>309.22</v>
      </c>
      <c r="E93" s="46">
        <v>25295.0</v>
      </c>
      <c r="F93" s="41">
        <f>D93*E93</f>
        <v>7821719.9</v>
      </c>
    </row>
    <row r="94">
      <c r="A94" s="33" t="s">
        <v>26</v>
      </c>
      <c r="B94" s="31"/>
      <c r="C94" s="32"/>
      <c r="D94" s="39"/>
      <c r="E94" s="46"/>
      <c r="F94" s="41">
        <f>round(F93*10%,0)</f>
        <v>782172</v>
      </c>
    </row>
    <row r="95">
      <c r="A95" s="33" t="s">
        <v>16</v>
      </c>
      <c r="B95" s="31"/>
      <c r="C95" s="32"/>
      <c r="D95" s="39"/>
      <c r="E95" s="46"/>
      <c r="F95" s="41">
        <f>F93+F94</f>
        <v>8603891.9</v>
      </c>
    </row>
    <row r="99">
      <c r="A99" s="4" t="s">
        <v>31</v>
      </c>
    </row>
    <row r="100">
      <c r="A100" s="7"/>
      <c r="B100" s="7"/>
      <c r="C100" s="7"/>
      <c r="D100" s="7"/>
      <c r="E100" s="7"/>
      <c r="F100" s="7"/>
    </row>
    <row r="101">
      <c r="A101" s="10" t="s">
        <v>4</v>
      </c>
      <c r="B101" s="12" t="s">
        <v>5</v>
      </c>
      <c r="C101" s="12" t="s">
        <v>6</v>
      </c>
      <c r="D101" s="12" t="s">
        <v>13</v>
      </c>
      <c r="E101" s="12" t="s">
        <v>8</v>
      </c>
      <c r="F101" s="12" t="s">
        <v>9</v>
      </c>
    </row>
    <row r="102">
      <c r="A102" s="16">
        <v>1.0</v>
      </c>
      <c r="B102" s="18" t="s">
        <v>18</v>
      </c>
      <c r="C102" s="20">
        <v>45689.0</v>
      </c>
      <c r="D102" s="23">
        <v>326.41</v>
      </c>
      <c r="E102" s="26"/>
      <c r="F102" s="26"/>
    </row>
    <row r="103">
      <c r="A103" s="30" t="s">
        <v>21</v>
      </c>
      <c r="B103" s="31"/>
      <c r="C103" s="32"/>
      <c r="D103" s="34">
        <f>round(D102*(1+5.26%),2)</f>
        <v>343.58</v>
      </c>
      <c r="E103" s="36"/>
      <c r="F103" s="26"/>
    </row>
    <row r="104">
      <c r="A104" s="40" t="s">
        <v>24</v>
      </c>
      <c r="B104" s="31"/>
      <c r="C104" s="32"/>
      <c r="D104" s="34">
        <f>round(D103*10%,2)</f>
        <v>34.36</v>
      </c>
      <c r="E104" s="36"/>
      <c r="F104" s="26"/>
    </row>
    <row r="105">
      <c r="A105" s="33" t="s">
        <v>9</v>
      </c>
      <c r="B105" s="31"/>
      <c r="C105" s="32"/>
      <c r="D105" s="39">
        <f>D103-D104</f>
        <v>309.22</v>
      </c>
      <c r="E105" s="46">
        <v>25735.0</v>
      </c>
      <c r="F105" s="41">
        <f>D105*E105</f>
        <v>7957776.7</v>
      </c>
    </row>
    <row r="106">
      <c r="A106" s="33" t="s">
        <v>26</v>
      </c>
      <c r="B106" s="31"/>
      <c r="C106" s="32"/>
      <c r="D106" s="39"/>
      <c r="E106" s="46"/>
      <c r="F106" s="41">
        <f>round(F105*10%,0)</f>
        <v>795778</v>
      </c>
    </row>
    <row r="107">
      <c r="A107" s="33" t="s">
        <v>16</v>
      </c>
      <c r="B107" s="31"/>
      <c r="C107" s="32"/>
      <c r="D107" s="39"/>
      <c r="E107" s="46"/>
      <c r="F107" s="41">
        <f>F105+F106</f>
        <v>8753554.7</v>
      </c>
    </row>
    <row r="111">
      <c r="A111" s="4" t="s">
        <v>31</v>
      </c>
    </row>
    <row r="112">
      <c r="A112" s="7"/>
      <c r="B112" s="7"/>
      <c r="C112" s="7"/>
      <c r="D112" s="7"/>
      <c r="E112" s="7"/>
      <c r="F112" s="7"/>
    </row>
    <row r="113">
      <c r="A113" s="10" t="s">
        <v>4</v>
      </c>
      <c r="B113" s="12" t="s">
        <v>5</v>
      </c>
      <c r="C113" s="12" t="s">
        <v>6</v>
      </c>
      <c r="D113" s="12" t="s">
        <v>13</v>
      </c>
      <c r="E113" s="12" t="s">
        <v>8</v>
      </c>
      <c r="F113" s="12" t="s">
        <v>9</v>
      </c>
    </row>
    <row r="114">
      <c r="A114" s="16">
        <v>1.0</v>
      </c>
      <c r="B114" s="18" t="s">
        <v>18</v>
      </c>
      <c r="C114" s="20">
        <v>45717.0</v>
      </c>
      <c r="D114" s="23">
        <v>326.41</v>
      </c>
      <c r="E114" s="26"/>
      <c r="F114" s="26"/>
    </row>
    <row r="115">
      <c r="A115" s="30" t="s">
        <v>21</v>
      </c>
      <c r="B115" s="31"/>
      <c r="C115" s="32"/>
      <c r="D115" s="34">
        <f>round(D114*(1+5.26%),2)</f>
        <v>343.58</v>
      </c>
      <c r="E115" s="36"/>
      <c r="F115" s="26"/>
    </row>
    <row r="116">
      <c r="A116" s="40" t="s">
        <v>24</v>
      </c>
      <c r="B116" s="31"/>
      <c r="C116" s="32"/>
      <c r="D116" s="34">
        <f>round(D115*10%,2)</f>
        <v>34.36</v>
      </c>
      <c r="E116" s="36"/>
      <c r="F116" s="26"/>
    </row>
    <row r="117">
      <c r="A117" s="33" t="s">
        <v>9</v>
      </c>
      <c r="B117" s="31"/>
      <c r="C117" s="32"/>
      <c r="D117" s="39">
        <f>D115-D116</f>
        <v>309.22</v>
      </c>
      <c r="E117" s="46">
        <v>25775.0</v>
      </c>
      <c r="F117" s="41">
        <f>D117*E117</f>
        <v>7970145.5</v>
      </c>
    </row>
    <row r="118">
      <c r="A118" s="33" t="s">
        <v>26</v>
      </c>
      <c r="B118" s="31"/>
      <c r="C118" s="32"/>
      <c r="D118" s="39"/>
      <c r="E118" s="46"/>
      <c r="F118" s="41">
        <f>round(F117*10%,0)</f>
        <v>797015</v>
      </c>
    </row>
    <row r="119">
      <c r="A119" s="33" t="s">
        <v>16</v>
      </c>
      <c r="B119" s="31"/>
      <c r="C119" s="32"/>
      <c r="D119" s="39"/>
      <c r="E119" s="46"/>
      <c r="F119" s="41">
        <f>F117+F118</f>
        <v>8767160.5</v>
      </c>
    </row>
    <row r="123">
      <c r="A123" s="4" t="s">
        <v>31</v>
      </c>
    </row>
    <row r="124">
      <c r="A124" s="7"/>
      <c r="B124" s="7"/>
      <c r="C124" s="7"/>
      <c r="D124" s="7"/>
      <c r="E124" s="7"/>
      <c r="F124" s="7"/>
    </row>
    <row r="125">
      <c r="A125" s="10" t="s">
        <v>4</v>
      </c>
      <c r="B125" s="12" t="s">
        <v>5</v>
      </c>
      <c r="C125" s="12" t="s">
        <v>6</v>
      </c>
      <c r="D125" s="12" t="s">
        <v>13</v>
      </c>
      <c r="E125" s="12" t="s">
        <v>8</v>
      </c>
      <c r="F125" s="12" t="s">
        <v>9</v>
      </c>
    </row>
    <row r="126">
      <c r="A126" s="16">
        <v>1.0</v>
      </c>
      <c r="B126" s="18" t="s">
        <v>18</v>
      </c>
      <c r="C126" s="20">
        <v>45748.0</v>
      </c>
      <c r="D126" s="23">
        <v>326.41</v>
      </c>
      <c r="E126" s="26"/>
      <c r="F126" s="26"/>
    </row>
    <row r="127">
      <c r="A127" s="30" t="s">
        <v>21</v>
      </c>
      <c r="B127" s="31"/>
      <c r="C127" s="32"/>
      <c r="D127" s="34">
        <f>round(D126*(1+5.26%),2)</f>
        <v>343.58</v>
      </c>
      <c r="E127" s="36"/>
      <c r="F127" s="26"/>
    </row>
    <row r="128">
      <c r="A128" s="40" t="s">
        <v>24</v>
      </c>
      <c r="B128" s="31"/>
      <c r="C128" s="32"/>
      <c r="D128" s="34">
        <f>round(D127*10%,2)</f>
        <v>34.36</v>
      </c>
      <c r="E128" s="36"/>
      <c r="F128" s="26"/>
    </row>
    <row r="129">
      <c r="A129" s="33" t="s">
        <v>9</v>
      </c>
      <c r="B129" s="31"/>
      <c r="C129" s="32"/>
      <c r="D129" s="39">
        <f>D127-D128</f>
        <v>309.22</v>
      </c>
      <c r="E129" s="46">
        <v>26190.0</v>
      </c>
      <c r="F129" s="41">
        <f>D129*E129</f>
        <v>8098471.8</v>
      </c>
    </row>
    <row r="130">
      <c r="A130" s="33" t="s">
        <v>26</v>
      </c>
      <c r="B130" s="31"/>
      <c r="C130" s="32"/>
      <c r="D130" s="39"/>
      <c r="E130" s="46"/>
      <c r="F130" s="41">
        <f>round(F129*10%,0)</f>
        <v>809847</v>
      </c>
    </row>
    <row r="131">
      <c r="A131" s="33" t="s">
        <v>16</v>
      </c>
      <c r="B131" s="31"/>
      <c r="C131" s="32"/>
      <c r="D131" s="39"/>
      <c r="E131" s="46"/>
      <c r="F131" s="41">
        <f>F129+F130</f>
        <v>8908318.8</v>
      </c>
    </row>
    <row r="135">
      <c r="A135" s="4" t="s">
        <v>31</v>
      </c>
    </row>
    <row r="136">
      <c r="A136" s="7"/>
      <c r="B136" s="7"/>
      <c r="C136" s="7"/>
      <c r="D136" s="7"/>
      <c r="E136" s="7"/>
      <c r="F136" s="7"/>
    </row>
    <row r="137">
      <c r="A137" s="10" t="s">
        <v>4</v>
      </c>
      <c r="B137" s="12" t="s">
        <v>5</v>
      </c>
      <c r="C137" s="12" t="s">
        <v>6</v>
      </c>
      <c r="D137" s="12" t="s">
        <v>13</v>
      </c>
      <c r="E137" s="12" t="s">
        <v>8</v>
      </c>
      <c r="F137" s="12" t="s">
        <v>9</v>
      </c>
    </row>
    <row r="138">
      <c r="A138" s="16">
        <v>1.0</v>
      </c>
      <c r="B138" s="18" t="s">
        <v>18</v>
      </c>
      <c r="C138" s="20">
        <v>45778.0</v>
      </c>
      <c r="D138" s="23">
        <v>321.02</v>
      </c>
      <c r="E138" s="26"/>
      <c r="F138" s="26"/>
    </row>
    <row r="139">
      <c r="A139" s="30" t="s">
        <v>21</v>
      </c>
      <c r="B139" s="31"/>
      <c r="C139" s="32"/>
      <c r="D139" s="34">
        <f>round(D138*(1+5.26%),2)</f>
        <v>337.91</v>
      </c>
      <c r="E139" s="36"/>
      <c r="F139" s="26"/>
    </row>
    <row r="140">
      <c r="A140" s="40" t="s">
        <v>24</v>
      </c>
      <c r="B140" s="31"/>
      <c r="C140" s="32"/>
      <c r="D140" s="34">
        <f>round(D139*10%,2)</f>
        <v>33.79</v>
      </c>
      <c r="E140" s="36"/>
      <c r="F140" s="26"/>
    </row>
    <row r="141">
      <c r="A141" s="33" t="s">
        <v>9</v>
      </c>
      <c r="B141" s="31"/>
      <c r="C141" s="32"/>
      <c r="D141" s="39">
        <f>D139-D140</f>
        <v>304.12</v>
      </c>
      <c r="E141" s="46">
        <v>26225.0</v>
      </c>
      <c r="F141" s="41">
        <f>D141*E141</f>
        <v>7975547</v>
      </c>
    </row>
    <row r="142">
      <c r="A142" s="33" t="s">
        <v>26</v>
      </c>
      <c r="B142" s="31"/>
      <c r="C142" s="32"/>
      <c r="D142" s="39"/>
      <c r="E142" s="46"/>
      <c r="F142" s="41">
        <f>round(F141*10%,0)</f>
        <v>797555</v>
      </c>
    </row>
    <row r="143">
      <c r="A143" s="33" t="s">
        <v>16</v>
      </c>
      <c r="B143" s="31"/>
      <c r="C143" s="32"/>
      <c r="D143" s="39"/>
      <c r="E143" s="46"/>
      <c r="F143" s="41">
        <f>F141+F142</f>
        <v>8773102</v>
      </c>
    </row>
    <row r="147">
      <c r="A147" s="4" t="s">
        <v>31</v>
      </c>
    </row>
    <row r="148">
      <c r="A148" s="7"/>
      <c r="B148" s="7"/>
      <c r="C148" s="7"/>
      <c r="D148" s="7"/>
      <c r="E148" s="7"/>
      <c r="F148" s="7"/>
    </row>
    <row r="149">
      <c r="A149" s="10" t="s">
        <v>4</v>
      </c>
      <c r="B149" s="12" t="s">
        <v>5</v>
      </c>
      <c r="C149" s="12" t="s">
        <v>6</v>
      </c>
      <c r="D149" s="12" t="s">
        <v>13</v>
      </c>
      <c r="E149" s="12" t="s">
        <v>8</v>
      </c>
      <c r="F149" s="12" t="s">
        <v>9</v>
      </c>
    </row>
    <row r="150">
      <c r="A150" s="16">
        <v>1.0</v>
      </c>
      <c r="B150" s="18" t="s">
        <v>18</v>
      </c>
      <c r="C150" s="20">
        <v>45809.0</v>
      </c>
      <c r="D150" s="23">
        <v>302.41</v>
      </c>
      <c r="E150" s="26"/>
      <c r="F150" s="26"/>
    </row>
    <row r="151">
      <c r="A151" s="30" t="s">
        <v>21</v>
      </c>
      <c r="B151" s="31"/>
      <c r="C151" s="32"/>
      <c r="D151" s="34">
        <f>round(D150*(1+5.26%),2)</f>
        <v>318.32</v>
      </c>
      <c r="E151" s="36"/>
      <c r="F151" s="26"/>
    </row>
    <row r="152">
      <c r="A152" s="40" t="s">
        <v>24</v>
      </c>
      <c r="B152" s="31"/>
      <c r="C152" s="32"/>
      <c r="D152" s="34">
        <f>round(D151*10%,2)</f>
        <v>31.83</v>
      </c>
      <c r="E152" s="36"/>
      <c r="F152" s="26"/>
    </row>
    <row r="153">
      <c r="A153" s="33" t="s">
        <v>9</v>
      </c>
      <c r="B153" s="31"/>
      <c r="C153" s="32"/>
      <c r="D153" s="39">
        <f>D151-D152</f>
        <v>286.49</v>
      </c>
      <c r="E153" s="46">
        <v>26300.0</v>
      </c>
      <c r="F153" s="41">
        <f>D153*E153</f>
        <v>7534687</v>
      </c>
    </row>
    <row r="154">
      <c r="A154" s="33" t="s">
        <v>26</v>
      </c>
      <c r="B154" s="31"/>
      <c r="C154" s="32"/>
      <c r="D154" s="39"/>
      <c r="E154" s="46"/>
      <c r="F154" s="41">
        <f>round(F153*10%,0)</f>
        <v>753469</v>
      </c>
    </row>
    <row r="155">
      <c r="A155" s="33" t="s">
        <v>16</v>
      </c>
      <c r="B155" s="31"/>
      <c r="C155" s="32"/>
      <c r="D155" s="39"/>
      <c r="E155" s="46"/>
      <c r="F155" s="41">
        <f>F153+F154</f>
        <v>8288156</v>
      </c>
    </row>
    <row r="159">
      <c r="A159" s="4" t="s">
        <v>31</v>
      </c>
    </row>
    <row r="160">
      <c r="A160" s="7"/>
      <c r="B160" s="7"/>
      <c r="C160" s="7"/>
      <c r="D160" s="7"/>
      <c r="E160" s="7"/>
      <c r="F160" s="7"/>
    </row>
    <row r="161">
      <c r="A161" s="10" t="s">
        <v>4</v>
      </c>
      <c r="B161" s="12" t="s">
        <v>5</v>
      </c>
      <c r="C161" s="12" t="s">
        <v>6</v>
      </c>
      <c r="D161" s="12" t="s">
        <v>13</v>
      </c>
      <c r="E161" s="12" t="s">
        <v>8</v>
      </c>
      <c r="F161" s="12" t="s">
        <v>9</v>
      </c>
    </row>
    <row r="162">
      <c r="A162" s="16">
        <v>1.0</v>
      </c>
      <c r="B162" s="18" t="s">
        <v>18</v>
      </c>
      <c r="C162" s="20">
        <v>45839.0</v>
      </c>
      <c r="D162" s="23">
        <v>302.41</v>
      </c>
      <c r="E162" s="26"/>
      <c r="F162" s="26"/>
    </row>
    <row r="163">
      <c r="A163" s="30" t="s">
        <v>32</v>
      </c>
      <c r="B163" s="31"/>
      <c r="C163" s="32"/>
      <c r="D163" s="34">
        <f>round(D162*(1+10%),2)</f>
        <v>332.65</v>
      </c>
      <c r="E163" s="36"/>
      <c r="F163" s="26"/>
    </row>
    <row r="164">
      <c r="A164" s="40" t="s">
        <v>24</v>
      </c>
      <c r="B164" s="31"/>
      <c r="C164" s="32"/>
      <c r="D164" s="34">
        <f>round(D163*10%,2)</f>
        <v>33.27</v>
      </c>
      <c r="E164" s="36"/>
      <c r="F164" s="26"/>
    </row>
    <row r="165">
      <c r="A165" s="33" t="s">
        <v>9</v>
      </c>
      <c r="B165" s="31"/>
      <c r="C165" s="32"/>
      <c r="D165" s="39">
        <f>D163-D164</f>
        <v>299.38</v>
      </c>
      <c r="E165" s="46">
        <v>26382.0</v>
      </c>
      <c r="F165" s="41">
        <f>D165*E165</f>
        <v>7898243.16</v>
      </c>
    </row>
    <row r="166">
      <c r="A166" s="33" t="s">
        <v>26</v>
      </c>
      <c r="B166" s="31"/>
      <c r="C166" s="32"/>
      <c r="D166" s="39"/>
      <c r="E166" s="46"/>
      <c r="F166" s="41">
        <f>round(F165*10%,0)</f>
        <v>789824</v>
      </c>
    </row>
    <row r="167">
      <c r="A167" s="33" t="s">
        <v>16</v>
      </c>
      <c r="B167" s="31"/>
      <c r="C167" s="32"/>
      <c r="D167" s="39"/>
      <c r="E167" s="46"/>
      <c r="F167" s="41">
        <f>F165+F166</f>
        <v>8688067.16</v>
      </c>
    </row>
    <row r="172">
      <c r="A172" s="4" t="s">
        <v>31</v>
      </c>
    </row>
    <row r="173">
      <c r="A173" s="7"/>
      <c r="B173" s="7"/>
      <c r="C173" s="7"/>
      <c r="D173" s="7"/>
      <c r="E173" s="7"/>
      <c r="F173" s="7"/>
    </row>
    <row r="174">
      <c r="A174" s="10" t="s">
        <v>4</v>
      </c>
      <c r="B174" s="12" t="s">
        <v>5</v>
      </c>
      <c r="C174" s="12" t="s">
        <v>6</v>
      </c>
      <c r="D174" s="12" t="s">
        <v>13</v>
      </c>
      <c r="E174" s="12" t="s">
        <v>8</v>
      </c>
      <c r="F174" s="12" t="s">
        <v>9</v>
      </c>
    </row>
    <row r="175">
      <c r="A175" s="16">
        <v>1.0</v>
      </c>
      <c r="B175" s="18" t="s">
        <v>18</v>
      </c>
      <c r="C175" s="20">
        <v>45870.0</v>
      </c>
      <c r="D175" s="23">
        <v>302.41</v>
      </c>
      <c r="E175" s="26"/>
      <c r="F175" s="26"/>
    </row>
    <row r="176">
      <c r="A176" s="30" t="s">
        <v>32</v>
      </c>
      <c r="B176" s="31"/>
      <c r="C176" s="32"/>
      <c r="D176" s="34">
        <f>round(D175*(1+10%),2)</f>
        <v>332.65</v>
      </c>
      <c r="E176" s="36"/>
      <c r="F176" s="26"/>
    </row>
    <row r="177">
      <c r="A177" s="40" t="s">
        <v>24</v>
      </c>
      <c r="B177" s="31"/>
      <c r="C177" s="32"/>
      <c r="D177" s="34">
        <f>round(D176*10%,2)</f>
        <v>33.27</v>
      </c>
      <c r="E177" s="36"/>
      <c r="F177" s="26"/>
    </row>
    <row r="178">
      <c r="A178" s="33" t="s">
        <v>9</v>
      </c>
      <c r="B178" s="31"/>
      <c r="C178" s="32"/>
      <c r="D178" s="39">
        <f>D176-D177</f>
        <v>299.38</v>
      </c>
      <c r="E178" s="46">
        <v>26502.0</v>
      </c>
      <c r="F178" s="41">
        <f>D178*E178</f>
        <v>7934168.76</v>
      </c>
    </row>
    <row r="179">
      <c r="A179" s="33" t="s">
        <v>26</v>
      </c>
      <c r="B179" s="31"/>
      <c r="C179" s="32"/>
      <c r="D179" s="39"/>
      <c r="E179" s="46"/>
      <c r="F179" s="41">
        <f>round(F178*10%,0)</f>
        <v>793417</v>
      </c>
    </row>
    <row r="180">
      <c r="A180" s="33" t="s">
        <v>16</v>
      </c>
      <c r="B180" s="31"/>
      <c r="C180" s="32"/>
      <c r="D180" s="39"/>
      <c r="E180" s="46"/>
      <c r="F180" s="41">
        <f>F178+F179</f>
        <v>8727585.76</v>
      </c>
    </row>
    <row r="185">
      <c r="A185" s="4" t="s">
        <v>31</v>
      </c>
    </row>
    <row r="186">
      <c r="A186" s="7"/>
      <c r="B186" s="7"/>
      <c r="C186" s="7"/>
      <c r="D186" s="7"/>
      <c r="E186" s="7"/>
      <c r="F186" s="7"/>
    </row>
    <row r="187">
      <c r="A187" s="10" t="s">
        <v>4</v>
      </c>
      <c r="B187" s="12" t="s">
        <v>5</v>
      </c>
      <c r="C187" s="12" t="s">
        <v>6</v>
      </c>
      <c r="D187" s="12" t="s">
        <v>13</v>
      </c>
      <c r="E187" s="12" t="s">
        <v>8</v>
      </c>
      <c r="F187" s="12" t="s">
        <v>9</v>
      </c>
    </row>
    <row r="188">
      <c r="A188" s="16">
        <v>1.0</v>
      </c>
      <c r="B188" s="18" t="s">
        <v>18</v>
      </c>
      <c r="C188" s="20">
        <v>45901.0</v>
      </c>
      <c r="D188" s="23">
        <v>302.41</v>
      </c>
      <c r="E188" s="26"/>
      <c r="F188" s="26"/>
    </row>
    <row r="189">
      <c r="A189" s="30" t="s">
        <v>32</v>
      </c>
      <c r="B189" s="31"/>
      <c r="C189" s="32"/>
      <c r="D189" s="34">
        <f>round(D188*(1+10%),2)</f>
        <v>332.65</v>
      </c>
      <c r="E189" s="36"/>
      <c r="F189" s="26"/>
    </row>
    <row r="190">
      <c r="A190" s="40" t="s">
        <v>24</v>
      </c>
      <c r="B190" s="31"/>
      <c r="C190" s="32"/>
      <c r="D190" s="34">
        <f>round(D189*10%,2)</f>
        <v>33.27</v>
      </c>
      <c r="E190" s="36"/>
      <c r="F190" s="26"/>
    </row>
    <row r="191">
      <c r="A191" s="33" t="s">
        <v>9</v>
      </c>
      <c r="B191" s="31"/>
      <c r="C191" s="32"/>
      <c r="D191" s="39">
        <f>D189-D190</f>
        <v>299.38</v>
      </c>
      <c r="E191" s="46">
        <v>26446.0</v>
      </c>
      <c r="F191" s="41">
        <f>D191*E191</f>
        <v>7917403.48</v>
      </c>
    </row>
    <row r="192">
      <c r="A192" s="33" t="s">
        <v>26</v>
      </c>
      <c r="B192" s="31"/>
      <c r="C192" s="32"/>
      <c r="D192" s="39"/>
      <c r="E192" s="46"/>
      <c r="F192" s="41">
        <f>round(F191*10%,0)</f>
        <v>791740</v>
      </c>
    </row>
    <row r="193">
      <c r="A193" s="33" t="s">
        <v>16</v>
      </c>
      <c r="B193" s="31"/>
      <c r="C193" s="32"/>
      <c r="D193" s="39"/>
      <c r="E193" s="46"/>
      <c r="F193" s="41">
        <f>F191+F192</f>
        <v>8709143.48</v>
      </c>
    </row>
    <row r="199">
      <c r="A199" s="4" t="s">
        <v>31</v>
      </c>
    </row>
    <row r="200">
      <c r="A200" s="7"/>
      <c r="B200" s="7"/>
      <c r="C200" s="7"/>
      <c r="D200" s="7"/>
      <c r="E200" s="7"/>
      <c r="F200" s="7"/>
    </row>
    <row r="201">
      <c r="A201" s="10" t="s">
        <v>4</v>
      </c>
      <c r="B201" s="12" t="s">
        <v>5</v>
      </c>
      <c r="C201" s="12" t="s">
        <v>6</v>
      </c>
      <c r="D201" s="12" t="s">
        <v>13</v>
      </c>
      <c r="E201" s="12" t="s">
        <v>8</v>
      </c>
      <c r="F201" s="12" t="s">
        <v>9</v>
      </c>
    </row>
    <row r="202">
      <c r="A202" s="16">
        <v>1.0</v>
      </c>
      <c r="B202" s="18" t="s">
        <v>18</v>
      </c>
      <c r="C202" s="20">
        <v>45931.0</v>
      </c>
      <c r="D202" s="23">
        <v>302.41</v>
      </c>
      <c r="E202" s="26"/>
      <c r="F202" s="26"/>
    </row>
    <row r="203">
      <c r="A203" s="30" t="s">
        <v>32</v>
      </c>
      <c r="B203" s="31"/>
      <c r="C203" s="32"/>
      <c r="D203" s="34">
        <f>round(D202*(1+10%),2)</f>
        <v>332.65</v>
      </c>
      <c r="E203" s="36"/>
      <c r="F203" s="26"/>
    </row>
    <row r="204">
      <c r="A204" s="40" t="s">
        <v>24</v>
      </c>
      <c r="B204" s="31"/>
      <c r="C204" s="32"/>
      <c r="D204" s="34">
        <f>round(D203*10%,2)</f>
        <v>33.27</v>
      </c>
      <c r="E204" s="36"/>
      <c r="F204" s="26"/>
    </row>
    <row r="205">
      <c r="A205" s="33" t="s">
        <v>9</v>
      </c>
      <c r="B205" s="31"/>
      <c r="C205" s="32"/>
      <c r="D205" s="39">
        <f>D203-D204</f>
        <v>299.38</v>
      </c>
      <c r="E205" s="46">
        <v>26347.0</v>
      </c>
      <c r="F205" s="41">
        <f>D205*E205</f>
        <v>7887764.86</v>
      </c>
    </row>
    <row r="206">
      <c r="A206" s="33" t="s">
        <v>26</v>
      </c>
      <c r="B206" s="31"/>
      <c r="C206" s="32"/>
      <c r="D206" s="39"/>
      <c r="E206" s="46"/>
      <c r="F206" s="41">
        <f>round(F205*10%,1)</f>
        <v>788776.5</v>
      </c>
    </row>
    <row r="207">
      <c r="A207" s="33" t="s">
        <v>16</v>
      </c>
      <c r="B207" s="31"/>
      <c r="C207" s="32"/>
      <c r="D207" s="39"/>
      <c r="E207" s="46"/>
      <c r="F207" s="41">
        <f>round(F205+F206,0)</f>
        <v>8676541</v>
      </c>
    </row>
    <row r="213">
      <c r="A213" s="4" t="s">
        <v>35</v>
      </c>
    </row>
    <row r="214">
      <c r="A214" s="7"/>
      <c r="B214" s="7"/>
      <c r="C214" s="7"/>
      <c r="D214" s="7"/>
      <c r="E214" s="7"/>
      <c r="F214" s="7"/>
    </row>
    <row r="215">
      <c r="A215" s="10" t="s">
        <v>4</v>
      </c>
      <c r="B215" s="12" t="s">
        <v>5</v>
      </c>
      <c r="C215" s="12" t="s">
        <v>6</v>
      </c>
      <c r="D215" s="12" t="s">
        <v>13</v>
      </c>
      <c r="E215" s="12" t="s">
        <v>8</v>
      </c>
      <c r="F215" s="12" t="s">
        <v>9</v>
      </c>
    </row>
    <row r="216">
      <c r="A216" s="16">
        <v>1.0</v>
      </c>
      <c r="B216" s="18" t="s">
        <v>18</v>
      </c>
      <c r="C216" s="20">
        <v>45962.0</v>
      </c>
      <c r="D216" s="23">
        <v>302.41</v>
      </c>
      <c r="E216" s="26"/>
      <c r="F216" s="26"/>
    </row>
    <row r="217">
      <c r="A217" s="30" t="s">
        <v>32</v>
      </c>
      <c r="B217" s="31"/>
      <c r="C217" s="32"/>
      <c r="D217" s="34">
        <f>round(D216*(1+10%),2)</f>
        <v>332.65</v>
      </c>
      <c r="E217" s="36"/>
      <c r="F217" s="26"/>
    </row>
    <row r="218">
      <c r="A218" s="40" t="s">
        <v>24</v>
      </c>
      <c r="B218" s="31"/>
      <c r="C218" s="32"/>
      <c r="D218" s="34">
        <f>round(D217*10%,2)</f>
        <v>33.27</v>
      </c>
      <c r="E218" s="36"/>
      <c r="F218" s="26"/>
    </row>
    <row r="219">
      <c r="A219" s="33" t="s">
        <v>9</v>
      </c>
      <c r="B219" s="31"/>
      <c r="C219" s="32"/>
      <c r="D219" s="39">
        <f>D217-D218</f>
        <v>299.38</v>
      </c>
      <c r="E219" s="46">
        <v>26412.0</v>
      </c>
      <c r="F219" s="41">
        <f>round(D219*E219,0)</f>
        <v>7907225</v>
      </c>
    </row>
    <row r="220">
      <c r="A220" s="33" t="s">
        <v>26</v>
      </c>
      <c r="B220" s="31"/>
      <c r="C220" s="32"/>
      <c r="D220" s="39"/>
      <c r="E220" s="46"/>
      <c r="F220" s="41">
        <f>round(F219*10%,1)</f>
        <v>790722.5</v>
      </c>
    </row>
    <row r="221">
      <c r="A221" s="33" t="s">
        <v>16</v>
      </c>
      <c r="B221" s="31"/>
      <c r="C221" s="32"/>
      <c r="D221" s="39"/>
      <c r="E221" s="46"/>
      <c r="F221" s="41">
        <f>round(F219+F220,1)</f>
        <v>8697947.5</v>
      </c>
    </row>
    <row r="227">
      <c r="A227" s="4" t="s">
        <v>35</v>
      </c>
    </row>
    <row r="228">
      <c r="A228" s="7"/>
      <c r="B228" s="7"/>
      <c r="C228" s="7"/>
      <c r="D228" s="7"/>
      <c r="E228" s="7"/>
      <c r="F228" s="7"/>
    </row>
    <row r="229">
      <c r="A229" s="10" t="s">
        <v>4</v>
      </c>
      <c r="B229" s="12" t="s">
        <v>5</v>
      </c>
      <c r="C229" s="12" t="s">
        <v>6</v>
      </c>
      <c r="D229" s="12" t="s">
        <v>13</v>
      </c>
      <c r="E229" s="12" t="s">
        <v>8</v>
      </c>
      <c r="F229" s="12" t="s">
        <v>9</v>
      </c>
    </row>
    <row r="230">
      <c r="A230" s="16">
        <v>1.0</v>
      </c>
      <c r="B230" s="18" t="s">
        <v>18</v>
      </c>
      <c r="C230" s="20">
        <v>45992.0</v>
      </c>
      <c r="D230" s="23">
        <v>302.41</v>
      </c>
      <c r="E230" s="26"/>
      <c r="F230" s="26"/>
    </row>
    <row r="231">
      <c r="A231" s="30" t="s">
        <v>32</v>
      </c>
      <c r="B231" s="31"/>
      <c r="C231" s="32"/>
      <c r="D231" s="34">
        <f>round(D230*(1+10%),2)</f>
        <v>332.65</v>
      </c>
      <c r="E231" s="36"/>
      <c r="F231" s="26"/>
    </row>
    <row r="232">
      <c r="A232" s="40" t="s">
        <v>24</v>
      </c>
      <c r="B232" s="31"/>
      <c r="C232" s="32"/>
      <c r="D232" s="34">
        <f>round(D231*10%,2)</f>
        <v>33.27</v>
      </c>
      <c r="E232" s="36"/>
      <c r="F232" s="26"/>
    </row>
    <row r="233">
      <c r="A233" s="33" t="s">
        <v>9</v>
      </c>
      <c r="B233" s="31"/>
      <c r="C233" s="32"/>
      <c r="D233" s="39">
        <f>D231-D232</f>
        <v>299.38</v>
      </c>
      <c r="E233" s="46">
        <v>26377.0</v>
      </c>
      <c r="F233" s="41">
        <f>round(D233*E233,0)</f>
        <v>7896746</v>
      </c>
    </row>
    <row r="234">
      <c r="A234" s="33" t="s">
        <v>26</v>
      </c>
      <c r="B234" s="31"/>
      <c r="C234" s="32"/>
      <c r="D234" s="39"/>
      <c r="E234" s="46"/>
      <c r="F234" s="41">
        <f>round(F233*10%,1)</f>
        <v>789674.6</v>
      </c>
    </row>
    <row r="235">
      <c r="A235" s="33" t="s">
        <v>16</v>
      </c>
      <c r="B235" s="31"/>
      <c r="C235" s="32"/>
      <c r="D235" s="39"/>
      <c r="E235" s="46"/>
      <c r="F235" s="41">
        <f>round(F233+F234,1)</f>
        <v>8686420.6</v>
      </c>
    </row>
    <row r="241">
      <c r="A241" s="4" t="s">
        <v>35</v>
      </c>
    </row>
    <row r="242">
      <c r="A242" s="7"/>
      <c r="B242" s="7"/>
      <c r="C242" s="7"/>
      <c r="D242" s="7"/>
      <c r="E242" s="7"/>
      <c r="F242" s="7"/>
    </row>
    <row r="243">
      <c r="A243" s="10" t="s">
        <v>4</v>
      </c>
      <c r="B243" s="12" t="s">
        <v>5</v>
      </c>
      <c r="C243" s="12" t="s">
        <v>6</v>
      </c>
      <c r="D243" s="12" t="s">
        <v>13</v>
      </c>
      <c r="E243" s="12" t="s">
        <v>8</v>
      </c>
      <c r="F243" s="12" t="s">
        <v>9</v>
      </c>
    </row>
    <row r="244">
      <c r="A244" s="16">
        <v>1.0</v>
      </c>
      <c r="B244" s="18" t="s">
        <v>18</v>
      </c>
      <c r="C244" s="20">
        <v>46023.0</v>
      </c>
      <c r="D244" s="23">
        <v>302.41</v>
      </c>
      <c r="E244" s="26"/>
      <c r="F244" s="26"/>
    </row>
    <row r="245">
      <c r="A245" s="30" t="s">
        <v>32</v>
      </c>
      <c r="B245" s="31"/>
      <c r="C245" s="32"/>
      <c r="D245" s="34">
        <f>round(D244*(1+10%),2)</f>
        <v>332.65</v>
      </c>
      <c r="E245" s="36"/>
      <c r="F245" s="26"/>
    </row>
    <row r="246">
      <c r="A246" s="40" t="s">
        <v>24</v>
      </c>
      <c r="B246" s="31"/>
      <c r="C246" s="32"/>
      <c r="D246" s="34">
        <f>round(D245*10%,2)</f>
        <v>33.27</v>
      </c>
      <c r="E246" s="36"/>
      <c r="F246" s="26"/>
    </row>
    <row r="247">
      <c r="A247" s="33" t="s">
        <v>9</v>
      </c>
      <c r="B247" s="31"/>
      <c r="C247" s="32"/>
      <c r="D247" s="39">
        <f>D245-D246</f>
        <v>299.38</v>
      </c>
      <c r="E247" s="46">
        <v>26145.0</v>
      </c>
      <c r="F247" s="41">
        <f>round(D247*E247,0)</f>
        <v>7827290</v>
      </c>
    </row>
    <row r="248">
      <c r="A248" s="33" t="s">
        <v>26</v>
      </c>
      <c r="B248" s="31"/>
      <c r="C248" s="32"/>
      <c r="D248" s="39"/>
      <c r="E248" s="46"/>
      <c r="F248" s="41">
        <f>round(F247*10%,1)</f>
        <v>782729</v>
      </c>
    </row>
    <row r="249">
      <c r="A249" s="33" t="s">
        <v>16</v>
      </c>
      <c r="B249" s="31"/>
      <c r="C249" s="32"/>
      <c r="D249" s="39"/>
      <c r="E249" s="46"/>
      <c r="F249" s="41">
        <f>round(F247+F248,1)</f>
        <v>8610019</v>
      </c>
    </row>
    <row r="254">
      <c r="A254" s="4" t="s">
        <v>35</v>
      </c>
    </row>
    <row r="255">
      <c r="A255" s="7"/>
      <c r="B255" s="7"/>
      <c r="C255" s="7"/>
      <c r="D255" s="7"/>
      <c r="E255" s="7"/>
      <c r="F255" s="7"/>
    </row>
    <row r="256">
      <c r="A256" s="10" t="s">
        <v>4</v>
      </c>
      <c r="B256" s="12" t="s">
        <v>5</v>
      </c>
      <c r="C256" s="12" t="s">
        <v>6</v>
      </c>
      <c r="D256" s="12" t="s">
        <v>13</v>
      </c>
      <c r="E256" s="12" t="s">
        <v>8</v>
      </c>
      <c r="F256" s="12" t="s">
        <v>9</v>
      </c>
    </row>
    <row r="257">
      <c r="A257" s="16">
        <v>1.0</v>
      </c>
      <c r="B257" s="18" t="s">
        <v>18</v>
      </c>
      <c r="C257" s="20">
        <v>46054.0</v>
      </c>
      <c r="D257" s="23">
        <v>302.41</v>
      </c>
      <c r="E257" s="26"/>
      <c r="F257" s="26"/>
    </row>
    <row r="258">
      <c r="A258" s="30" t="s">
        <v>32</v>
      </c>
      <c r="B258" s="31"/>
      <c r="C258" s="32"/>
      <c r="D258" s="34">
        <f>round(D257*(1+10%),2)</f>
        <v>332.65</v>
      </c>
      <c r="E258" s="36"/>
      <c r="F258" s="26"/>
    </row>
    <row r="259">
      <c r="A259" s="40" t="s">
        <v>24</v>
      </c>
      <c r="B259" s="31"/>
      <c r="C259" s="32"/>
      <c r="D259" s="34">
        <f>round(D258*10%,2)</f>
        <v>33.27</v>
      </c>
      <c r="E259" s="36"/>
      <c r="F259" s="26"/>
    </row>
    <row r="260">
      <c r="A260" s="33" t="s">
        <v>9</v>
      </c>
      <c r="B260" s="31"/>
      <c r="C260" s="32"/>
      <c r="D260" s="39">
        <f>D258-D259</f>
        <v>299.38</v>
      </c>
      <c r="E260" s="46">
        <v>26240.0</v>
      </c>
      <c r="F260" s="41">
        <f>round(D260*E260,0)</f>
        <v>7855731</v>
      </c>
    </row>
    <row r="261">
      <c r="A261" s="33" t="s">
        <v>26</v>
      </c>
      <c r="B261" s="31"/>
      <c r="C261" s="32"/>
      <c r="D261" s="39"/>
      <c r="E261" s="46"/>
      <c r="F261" s="41">
        <f>round(F260*10%,1)</f>
        <v>785573.1</v>
      </c>
    </row>
    <row r="262">
      <c r="A262" s="33" t="s">
        <v>16</v>
      </c>
      <c r="B262" s="31"/>
      <c r="C262" s="32"/>
      <c r="D262" s="39"/>
      <c r="E262" s="46"/>
      <c r="F262" s="41">
        <f>round(F260+F261,1)</f>
        <v>8641304.1</v>
      </c>
    </row>
    <row r="268">
      <c r="A268" s="4" t="s">
        <v>35</v>
      </c>
    </row>
    <row r="269">
      <c r="A269" s="7"/>
      <c r="B269" s="7"/>
      <c r="C269" s="7"/>
      <c r="D269" s="7"/>
      <c r="E269" s="7"/>
      <c r="F269" s="7"/>
    </row>
    <row r="270">
      <c r="A270" s="10" t="s">
        <v>4</v>
      </c>
      <c r="B270" s="12" t="s">
        <v>5</v>
      </c>
      <c r="C270" s="12" t="s">
        <v>6</v>
      </c>
      <c r="D270" s="12" t="s">
        <v>13</v>
      </c>
      <c r="E270" s="12" t="s">
        <v>8</v>
      </c>
      <c r="F270" s="12" t="s">
        <v>9</v>
      </c>
    </row>
    <row r="271">
      <c r="A271" s="16">
        <v>1.0</v>
      </c>
      <c r="B271" s="18" t="s">
        <v>18</v>
      </c>
      <c r="C271" s="20">
        <v>46082.0</v>
      </c>
      <c r="D271" s="23">
        <v>302.41</v>
      </c>
      <c r="E271" s="26"/>
      <c r="F271" s="26"/>
    </row>
    <row r="272">
      <c r="A272" s="30" t="s">
        <v>32</v>
      </c>
      <c r="B272" s="31"/>
      <c r="C272" s="32"/>
      <c r="D272" s="34">
        <f>round(D271*(1+10%),2)</f>
        <v>332.65</v>
      </c>
      <c r="E272" s="36"/>
      <c r="F272" s="26"/>
    </row>
    <row r="273">
      <c r="A273" s="40" t="s">
        <v>24</v>
      </c>
      <c r="B273" s="31"/>
      <c r="C273" s="32"/>
      <c r="D273" s="34">
        <f>round(D272*10%,2)</f>
        <v>33.27</v>
      </c>
      <c r="E273" s="36"/>
      <c r="F273" s="26"/>
    </row>
    <row r="274">
      <c r="A274" s="33" t="s">
        <v>9</v>
      </c>
      <c r="B274" s="31"/>
      <c r="C274" s="32"/>
      <c r="D274" s="39">
        <f>D272-D273</f>
        <v>299.38</v>
      </c>
      <c r="E274" s="46">
        <v>26357.0</v>
      </c>
      <c r="F274" s="41">
        <f>round(D274*E274,0)</f>
        <v>7890759</v>
      </c>
    </row>
    <row r="275">
      <c r="A275" s="33" t="s">
        <v>26</v>
      </c>
      <c r="B275" s="31"/>
      <c r="C275" s="32"/>
      <c r="D275" s="39"/>
      <c r="E275" s="46"/>
      <c r="F275" s="41">
        <f>round(F274*10%,1)</f>
        <v>789075.9</v>
      </c>
    </row>
    <row r="276">
      <c r="A276" s="33" t="s">
        <v>16</v>
      </c>
      <c r="B276" s="31"/>
      <c r="C276" s="32"/>
      <c r="D276" s="39"/>
      <c r="E276" s="46"/>
      <c r="F276" s="41">
        <f>round(F274+F275,1)</f>
        <v>8679834.9</v>
      </c>
    </row>
    <row r="282">
      <c r="A282" s="4" t="s">
        <v>35</v>
      </c>
    </row>
    <row r="283">
      <c r="A283" s="7"/>
      <c r="B283" s="7"/>
      <c r="C283" s="7"/>
      <c r="D283" s="7"/>
      <c r="E283" s="7"/>
      <c r="F283" s="7"/>
    </row>
    <row r="284">
      <c r="A284" s="10" t="s">
        <v>4</v>
      </c>
      <c r="B284" s="12" t="s">
        <v>5</v>
      </c>
      <c r="C284" s="12" t="s">
        <v>6</v>
      </c>
      <c r="D284" s="12" t="s">
        <v>13</v>
      </c>
      <c r="E284" s="12" t="s">
        <v>8</v>
      </c>
      <c r="F284" s="12" t="s">
        <v>9</v>
      </c>
    </row>
    <row r="285">
      <c r="A285" s="16">
        <v>1.0</v>
      </c>
      <c r="B285" s="18" t="s">
        <v>18</v>
      </c>
      <c r="C285" s="20">
        <v>46113.0</v>
      </c>
      <c r="D285" s="23">
        <v>302.41</v>
      </c>
      <c r="E285" s="26"/>
      <c r="F285" s="26"/>
    </row>
    <row r="286">
      <c r="A286" s="30" t="s">
        <v>32</v>
      </c>
      <c r="B286" s="31"/>
      <c r="C286" s="32"/>
      <c r="D286" s="34">
        <f>round(D285*(1+10%),2)</f>
        <v>332.65</v>
      </c>
      <c r="E286" s="36"/>
      <c r="F286" s="26"/>
    </row>
    <row r="287">
      <c r="A287" s="40" t="s">
        <v>24</v>
      </c>
      <c r="B287" s="31"/>
      <c r="C287" s="32"/>
      <c r="D287" s="34">
        <f>round(D286*10%,2)</f>
        <v>33.27</v>
      </c>
      <c r="E287" s="36"/>
      <c r="F287" s="26"/>
    </row>
    <row r="288">
      <c r="A288" s="33" t="s">
        <v>9</v>
      </c>
      <c r="B288" s="31"/>
      <c r="C288" s="32"/>
      <c r="D288" s="39">
        <f>D286-D287</f>
        <v>299.38</v>
      </c>
      <c r="E288" s="46">
        <v>26368.0</v>
      </c>
      <c r="F288" s="41">
        <f>round(D288*E288,0)</f>
        <v>7894052</v>
      </c>
    </row>
    <row r="289">
      <c r="A289" s="33" t="s">
        <v>26</v>
      </c>
      <c r="B289" s="31"/>
      <c r="C289" s="32"/>
      <c r="D289" s="39"/>
      <c r="E289" s="46"/>
      <c r="F289" s="41">
        <f>round(F288*10%,1)</f>
        <v>789405.2</v>
      </c>
    </row>
    <row r="290">
      <c r="A290" s="33" t="s">
        <v>16</v>
      </c>
      <c r="B290" s="31"/>
      <c r="C290" s="32"/>
      <c r="D290" s="39"/>
      <c r="E290" s="46"/>
      <c r="F290" s="41">
        <f>round(F288+F289,1)</f>
        <v>8683457.2</v>
      </c>
    </row>
    <row r="296">
      <c r="A296" s="4" t="s">
        <v>35</v>
      </c>
    </row>
    <row r="297">
      <c r="A297" s="7"/>
      <c r="B297" s="7"/>
      <c r="C297" s="7"/>
      <c r="D297" s="7"/>
      <c r="E297" s="7"/>
      <c r="F297" s="7"/>
    </row>
    <row r="298">
      <c r="A298" s="10" t="s">
        <v>4</v>
      </c>
      <c r="B298" s="12" t="s">
        <v>5</v>
      </c>
      <c r="C298" s="12" t="s">
        <v>6</v>
      </c>
      <c r="D298" s="12" t="s">
        <v>13</v>
      </c>
      <c r="E298" s="12" t="s">
        <v>8</v>
      </c>
      <c r="F298" s="12" t="s">
        <v>9</v>
      </c>
    </row>
    <row r="299">
      <c r="A299" s="16">
        <v>1.0</v>
      </c>
      <c r="B299" s="18" t="s">
        <v>18</v>
      </c>
      <c r="C299" s="20">
        <v>46143.0</v>
      </c>
      <c r="D299" s="23">
        <v>302.41</v>
      </c>
      <c r="E299" s="26"/>
      <c r="F299" s="26"/>
    </row>
    <row r="300">
      <c r="A300" s="30" t="s">
        <v>32</v>
      </c>
      <c r="B300" s="31"/>
      <c r="C300" s="32"/>
      <c r="D300" s="34">
        <f>round(D299*(1+10%),2)</f>
        <v>332.65</v>
      </c>
      <c r="E300" s="36"/>
      <c r="F300" s="26"/>
    </row>
    <row r="301">
      <c r="A301" s="40" t="s">
        <v>24</v>
      </c>
      <c r="B301" s="31"/>
      <c r="C301" s="32"/>
      <c r="D301" s="34">
        <f>round(D300*10%,2)</f>
        <v>33.27</v>
      </c>
      <c r="E301" s="36"/>
      <c r="F301" s="26"/>
    </row>
    <row r="302">
      <c r="A302" s="33" t="s">
        <v>9</v>
      </c>
      <c r="B302" s="31"/>
      <c r="C302" s="32"/>
      <c r="D302" s="39">
        <f>D300-D301</f>
        <v>299.38</v>
      </c>
      <c r="E302" s="46">
        <v>26395.0</v>
      </c>
      <c r="F302" s="41">
        <f>round(D302*E302,0)</f>
        <v>7902135</v>
      </c>
    </row>
    <row r="303">
      <c r="A303" s="33" t="s">
        <v>26</v>
      </c>
      <c r="B303" s="31"/>
      <c r="C303" s="32"/>
      <c r="D303" s="39"/>
      <c r="E303" s="46"/>
      <c r="F303" s="41">
        <f>round(F302*10%,1)</f>
        <v>790213.5</v>
      </c>
    </row>
    <row r="304">
      <c r="A304" s="33" t="s">
        <v>16</v>
      </c>
      <c r="B304" s="31"/>
      <c r="C304" s="32"/>
      <c r="D304" s="39"/>
      <c r="E304" s="46"/>
      <c r="F304" s="41">
        <f>round(F302+F303,1)</f>
        <v>8692348.5</v>
      </c>
    </row>
    <row r="309">
      <c r="A309" s="4" t="s">
        <v>35</v>
      </c>
    </row>
    <row r="310">
      <c r="A310" s="7"/>
      <c r="B310" s="7"/>
      <c r="C310" s="7"/>
      <c r="D310" s="7"/>
      <c r="E310" s="7"/>
      <c r="F310" s="7"/>
    </row>
    <row r="311">
      <c r="A311" s="10" t="s">
        <v>4</v>
      </c>
      <c r="B311" s="12" t="s">
        <v>5</v>
      </c>
      <c r="C311" s="12" t="s">
        <v>6</v>
      </c>
      <c r="D311" s="12" t="s">
        <v>13</v>
      </c>
      <c r="E311" s="12" t="s">
        <v>8</v>
      </c>
      <c r="F311" s="12" t="s">
        <v>9</v>
      </c>
    </row>
    <row r="312">
      <c r="A312" s="16">
        <v>1.0</v>
      </c>
      <c r="B312" s="18" t="s">
        <v>18</v>
      </c>
      <c r="C312" s="20">
        <v>46174.0</v>
      </c>
      <c r="D312" s="23">
        <v>302.41</v>
      </c>
      <c r="E312" s="26"/>
      <c r="F312" s="26"/>
    </row>
    <row r="313">
      <c r="A313" s="30" t="s">
        <v>32</v>
      </c>
      <c r="B313" s="31"/>
      <c r="C313" s="32"/>
      <c r="D313" s="34">
        <f>round(D312*(1+10%),2)</f>
        <v>332.65</v>
      </c>
      <c r="E313" s="36"/>
      <c r="F313" s="26"/>
    </row>
    <row r="314">
      <c r="A314" s="40" t="s">
        <v>24</v>
      </c>
      <c r="B314" s="31"/>
      <c r="C314" s="32"/>
      <c r="D314" s="34">
        <f>round(D313*10%,2)</f>
        <v>33.27</v>
      </c>
      <c r="E314" s="36"/>
      <c r="F314" s="26"/>
    </row>
    <row r="315">
      <c r="A315" s="33" t="s">
        <v>9</v>
      </c>
      <c r="B315" s="31"/>
      <c r="C315" s="32"/>
      <c r="D315" s="39">
        <f>D313-D314</f>
        <v>299.38</v>
      </c>
      <c r="E315" s="46">
        <v>26466.0</v>
      </c>
      <c r="F315" s="41">
        <f>round(D315*E315,0)</f>
        <v>7923391</v>
      </c>
    </row>
    <row r="316">
      <c r="A316" s="33" t="s">
        <v>26</v>
      </c>
      <c r="B316" s="31"/>
      <c r="C316" s="32"/>
      <c r="D316" s="39"/>
      <c r="E316" s="46"/>
      <c r="F316" s="41">
        <f>round(F315*10%,1)</f>
        <v>792339.1</v>
      </c>
    </row>
    <row r="317">
      <c r="A317" s="33" t="s">
        <v>16</v>
      </c>
      <c r="B317" s="31"/>
      <c r="C317" s="32"/>
      <c r="D317" s="39"/>
      <c r="E317" s="46"/>
      <c r="F317" s="41">
        <f>round(F315+F316,1)</f>
        <v>8715730.1</v>
      </c>
    </row>
    <row r="323">
      <c r="A323" s="4" t="s">
        <v>35</v>
      </c>
    </row>
    <row r="324">
      <c r="A324" s="7"/>
      <c r="B324" s="7"/>
      <c r="C324" s="7"/>
      <c r="D324" s="7"/>
      <c r="E324" s="7"/>
      <c r="F324" s="7"/>
    </row>
    <row r="325">
      <c r="A325" s="10" t="s">
        <v>4</v>
      </c>
      <c r="B325" s="12" t="s">
        <v>5</v>
      </c>
      <c r="C325" s="12" t="s">
        <v>6</v>
      </c>
      <c r="D325" s="12" t="s">
        <v>13</v>
      </c>
      <c r="E325" s="12" t="s">
        <v>8</v>
      </c>
      <c r="F325" s="12" t="s">
        <v>9</v>
      </c>
    </row>
    <row r="326">
      <c r="A326" s="16">
        <v>1.0</v>
      </c>
      <c r="B326" s="18" t="s">
        <v>18</v>
      </c>
      <c r="C326" s="20">
        <v>46204.0</v>
      </c>
      <c r="D326" s="23">
        <v>302.41</v>
      </c>
      <c r="E326" s="26"/>
      <c r="F326" s="26"/>
    </row>
    <row r="327">
      <c r="A327" s="30" t="s">
        <v>32</v>
      </c>
      <c r="B327" s="31"/>
      <c r="C327" s="32"/>
      <c r="D327" s="34">
        <f>round(D326*(1+10%),2)</f>
        <v>332.65</v>
      </c>
      <c r="E327" s="36"/>
      <c r="F327" s="26"/>
    </row>
    <row r="328">
      <c r="A328" s="40" t="s">
        <v>24</v>
      </c>
      <c r="B328" s="31"/>
      <c r="C328" s="32"/>
      <c r="D328" s="34">
        <f>round(D327*10%,2)</f>
        <v>33.27</v>
      </c>
      <c r="E328" s="36"/>
      <c r="F328" s="26"/>
    </row>
    <row r="329">
      <c r="A329" s="33" t="s">
        <v>9</v>
      </c>
      <c r="B329" s="31"/>
      <c r="C329" s="32"/>
      <c r="D329" s="39">
        <f>D327-D328</f>
        <v>299.38</v>
      </c>
      <c r="E329" s="46">
        <v>26475.0</v>
      </c>
      <c r="F329" s="41">
        <f>round(D329*E329,0)</f>
        <v>7926086</v>
      </c>
    </row>
    <row r="330">
      <c r="A330" s="33" t="s">
        <v>26</v>
      </c>
      <c r="B330" s="31"/>
      <c r="C330" s="32"/>
      <c r="D330" s="39"/>
      <c r="E330" s="46"/>
      <c r="F330" s="41">
        <f>round(F329*10%,1)</f>
        <v>792608.6</v>
      </c>
    </row>
    <row r="331">
      <c r="A331" s="33" t="s">
        <v>16</v>
      </c>
      <c r="B331" s="31"/>
      <c r="C331" s="32"/>
      <c r="D331" s="39"/>
      <c r="E331" s="46"/>
      <c r="F331" s="41">
        <f>round(F329+F330,1)</f>
        <v>8718694.6</v>
      </c>
    </row>
  </sheetData>
  <mergeCells count="156">
    <mergeCell ref="A1:F1"/>
    <mergeCell ref="A5:C5"/>
    <mergeCell ref="A6:C6"/>
    <mergeCell ref="A7:C7"/>
    <mergeCell ref="A11:F11"/>
    <mergeCell ref="A15:C15"/>
    <mergeCell ref="A16:C16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51:F51"/>
    <mergeCell ref="A55:C55"/>
    <mergeCell ref="A56:C56"/>
    <mergeCell ref="A57:C57"/>
    <mergeCell ref="A58:C58"/>
    <mergeCell ref="A59:C59"/>
    <mergeCell ref="A63:F63"/>
    <mergeCell ref="A67:C67"/>
    <mergeCell ref="A68:C68"/>
    <mergeCell ref="A69:C69"/>
    <mergeCell ref="A70:C70"/>
    <mergeCell ref="A71:C71"/>
    <mergeCell ref="A75:F75"/>
    <mergeCell ref="A79:C79"/>
    <mergeCell ref="A80:C80"/>
    <mergeCell ref="A81:C81"/>
    <mergeCell ref="A82:C82"/>
    <mergeCell ref="A83:C83"/>
    <mergeCell ref="A87:F87"/>
    <mergeCell ref="A91:C91"/>
    <mergeCell ref="A92:C92"/>
    <mergeCell ref="A93:C93"/>
    <mergeCell ref="A94:C94"/>
    <mergeCell ref="A95:C95"/>
    <mergeCell ref="A99:F99"/>
    <mergeCell ref="A189:C189"/>
    <mergeCell ref="A190:C190"/>
    <mergeCell ref="A191:C191"/>
    <mergeCell ref="A192:C192"/>
    <mergeCell ref="A193:C193"/>
    <mergeCell ref="A199:F199"/>
    <mergeCell ref="A203:C203"/>
    <mergeCell ref="A204:C204"/>
    <mergeCell ref="A205:C205"/>
    <mergeCell ref="A206:C206"/>
    <mergeCell ref="A207:C207"/>
    <mergeCell ref="A213:F213"/>
    <mergeCell ref="A217:C217"/>
    <mergeCell ref="A218:C218"/>
    <mergeCell ref="A234:C234"/>
    <mergeCell ref="A235:C235"/>
    <mergeCell ref="A241:F241"/>
    <mergeCell ref="A245:C245"/>
    <mergeCell ref="A246:C246"/>
    <mergeCell ref="A247:C247"/>
    <mergeCell ref="A248:C248"/>
    <mergeCell ref="A249:C249"/>
    <mergeCell ref="A254:F254"/>
    <mergeCell ref="A258:C258"/>
    <mergeCell ref="A259:C259"/>
    <mergeCell ref="A260:C260"/>
    <mergeCell ref="A261:C261"/>
    <mergeCell ref="A262:C262"/>
    <mergeCell ref="A268:F268"/>
    <mergeCell ref="A272:C272"/>
    <mergeCell ref="A273:C273"/>
    <mergeCell ref="A274:C274"/>
    <mergeCell ref="A275:C275"/>
    <mergeCell ref="A276:C276"/>
    <mergeCell ref="A282:F282"/>
    <mergeCell ref="A286:C286"/>
    <mergeCell ref="A287:C287"/>
    <mergeCell ref="A288:C288"/>
    <mergeCell ref="A289:C289"/>
    <mergeCell ref="A290:C290"/>
    <mergeCell ref="A296:F296"/>
    <mergeCell ref="A300:C300"/>
    <mergeCell ref="A301:C301"/>
    <mergeCell ref="A302:C302"/>
    <mergeCell ref="A303:C303"/>
    <mergeCell ref="A304:C304"/>
    <mergeCell ref="A309:F309"/>
    <mergeCell ref="A313:C313"/>
    <mergeCell ref="A314:C314"/>
    <mergeCell ref="A330:C330"/>
    <mergeCell ref="A331:C331"/>
    <mergeCell ref="A315:C315"/>
    <mergeCell ref="A316:C316"/>
    <mergeCell ref="A317:C317"/>
    <mergeCell ref="A323:F323"/>
    <mergeCell ref="A327:C327"/>
    <mergeCell ref="A328:C328"/>
    <mergeCell ref="A329:C329"/>
    <mergeCell ref="A103:C103"/>
    <mergeCell ref="A104:C104"/>
    <mergeCell ref="A105:C105"/>
    <mergeCell ref="A106:C106"/>
    <mergeCell ref="A107:C107"/>
    <mergeCell ref="A111:F111"/>
    <mergeCell ref="A115:C115"/>
    <mergeCell ref="A116:C116"/>
    <mergeCell ref="A117:C117"/>
    <mergeCell ref="A118:C118"/>
    <mergeCell ref="A119:C119"/>
    <mergeCell ref="A123:F123"/>
    <mergeCell ref="A127:C127"/>
    <mergeCell ref="A128:C128"/>
    <mergeCell ref="A129:C129"/>
    <mergeCell ref="A130:C130"/>
    <mergeCell ref="A131:C131"/>
    <mergeCell ref="A135:F135"/>
    <mergeCell ref="A139:C139"/>
    <mergeCell ref="A140:C140"/>
    <mergeCell ref="A141:C141"/>
    <mergeCell ref="A142:C142"/>
    <mergeCell ref="A143:C143"/>
    <mergeCell ref="A147:F147"/>
    <mergeCell ref="A151:C151"/>
    <mergeCell ref="A152:C152"/>
    <mergeCell ref="A153:C153"/>
    <mergeCell ref="A154:C154"/>
    <mergeCell ref="A155:C155"/>
    <mergeCell ref="A159:F159"/>
    <mergeCell ref="A163:C163"/>
    <mergeCell ref="A164:C164"/>
    <mergeCell ref="A165:C165"/>
    <mergeCell ref="A166:C166"/>
    <mergeCell ref="A167:C167"/>
    <mergeCell ref="A172:F172"/>
    <mergeCell ref="A176:C176"/>
    <mergeCell ref="A177:C177"/>
    <mergeCell ref="A178:C178"/>
    <mergeCell ref="A179:C179"/>
    <mergeCell ref="A180:C180"/>
    <mergeCell ref="A185:F185"/>
    <mergeCell ref="A219:C219"/>
    <mergeCell ref="A220:C220"/>
    <mergeCell ref="A221:C221"/>
    <mergeCell ref="A227:F227"/>
    <mergeCell ref="A231:C231"/>
    <mergeCell ref="A232:C232"/>
    <mergeCell ref="A233:C2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8.75"/>
    <col customWidth="1" min="2" max="2" width="29.25"/>
    <col customWidth="1" min="3" max="3" width="9.13"/>
    <col customWidth="1" min="4" max="4" width="14.5"/>
    <col customWidth="1" min="5" max="5" width="11.5"/>
    <col customWidth="1" min="6" max="6" width="8.75"/>
    <col customWidth="1" min="7" max="7" width="10.0"/>
    <col customWidth="1" min="8" max="8" width="11.13"/>
    <col customWidth="1" min="9" max="9" width="12.63"/>
    <col customWidth="1" min="10" max="10" width="27.5"/>
    <col customWidth="1" min="11" max="11" width="15.75"/>
    <col customWidth="1" min="13" max="13" width="18.88"/>
  </cols>
  <sheetData>
    <row r="1">
      <c r="A1" s="3" t="s">
        <v>1</v>
      </c>
    </row>
    <row r="2">
      <c r="A2" s="6"/>
      <c r="B2" s="6"/>
      <c r="C2" s="6"/>
      <c r="D2" s="6"/>
      <c r="E2" s="6"/>
      <c r="F2" s="6"/>
      <c r="G2" s="6"/>
      <c r="H2" s="6"/>
    </row>
    <row r="3">
      <c r="A3" s="9" t="s">
        <v>4</v>
      </c>
      <c r="B3" s="9" t="s">
        <v>5</v>
      </c>
      <c r="C3" s="9" t="s">
        <v>6</v>
      </c>
      <c r="D3" s="11" t="s">
        <v>10</v>
      </c>
      <c r="E3" s="11" t="s">
        <v>11</v>
      </c>
      <c r="F3" s="11" t="s">
        <v>12</v>
      </c>
      <c r="G3" s="9" t="s">
        <v>8</v>
      </c>
      <c r="H3" s="9" t="s">
        <v>9</v>
      </c>
      <c r="I3" s="9" t="s">
        <v>14</v>
      </c>
      <c r="J3" s="9" t="s">
        <v>16</v>
      </c>
    </row>
    <row r="4">
      <c r="A4" s="13">
        <v>1.0</v>
      </c>
      <c r="B4" s="17" t="s">
        <v>17</v>
      </c>
      <c r="C4" s="21">
        <v>45444.0</v>
      </c>
      <c r="D4" s="24">
        <v>64.34</v>
      </c>
      <c r="E4" s="24">
        <f>round(D4*10%,2)</f>
        <v>6.43</v>
      </c>
      <c r="F4" s="24">
        <f>Round((D4-E4)*0.0526,2)</f>
        <v>3.05</v>
      </c>
      <c r="G4" s="28">
        <v>25477.0</v>
      </c>
      <c r="H4" s="28">
        <f>round((D4-E4+F4)*G4,2)</f>
        <v>1553077.92</v>
      </c>
      <c r="I4" s="28">
        <f>round(H4*10%,0)</f>
        <v>155308</v>
      </c>
      <c r="J4" s="28">
        <f>H4+I4</f>
        <v>1708385.92</v>
      </c>
    </row>
    <row r="5">
      <c r="A5" s="33" t="s">
        <v>22</v>
      </c>
      <c r="B5" s="32"/>
      <c r="C5" s="35"/>
      <c r="D5" s="39">
        <f t="shared" ref="D5:F5" si="1">sum(D4)</f>
        <v>64.34</v>
      </c>
      <c r="E5" s="39">
        <f t="shared" si="1"/>
        <v>6.43</v>
      </c>
      <c r="F5" s="39">
        <f t="shared" si="1"/>
        <v>3.05</v>
      </c>
      <c r="G5" s="41">
        <f>G4</f>
        <v>25477</v>
      </c>
      <c r="H5" s="41">
        <f t="shared" ref="H5:J5" si="2">sum(H4)</f>
        <v>1553077.92</v>
      </c>
      <c r="I5" s="41">
        <f t="shared" si="2"/>
        <v>155308</v>
      </c>
      <c r="J5" s="41">
        <f t="shared" si="2"/>
        <v>1708385.92</v>
      </c>
    </row>
    <row r="9">
      <c r="A9" s="3" t="s">
        <v>1</v>
      </c>
    </row>
    <row r="10">
      <c r="A10" s="6"/>
      <c r="B10" s="6"/>
      <c r="C10" s="6"/>
      <c r="D10" s="6"/>
      <c r="E10" s="6"/>
      <c r="F10" s="6"/>
      <c r="G10" s="6"/>
      <c r="H10" s="6"/>
    </row>
    <row r="11">
      <c r="A11" s="9" t="s">
        <v>4</v>
      </c>
      <c r="B11" s="9" t="s">
        <v>5</v>
      </c>
      <c r="C11" s="9" t="s">
        <v>6</v>
      </c>
      <c r="D11" s="11" t="s">
        <v>10</v>
      </c>
      <c r="E11" s="11" t="s">
        <v>11</v>
      </c>
      <c r="F11" s="11" t="s">
        <v>12</v>
      </c>
      <c r="G11" s="9" t="s">
        <v>8</v>
      </c>
      <c r="H11" s="9" t="s">
        <v>9</v>
      </c>
      <c r="I11" s="9" t="s">
        <v>14</v>
      </c>
      <c r="J11" s="9" t="s">
        <v>16</v>
      </c>
    </row>
    <row r="12">
      <c r="A12" s="13">
        <v>1.0</v>
      </c>
      <c r="B12" s="17" t="s">
        <v>17</v>
      </c>
      <c r="C12" s="21">
        <v>45474.0</v>
      </c>
      <c r="D12" s="24">
        <v>64.34</v>
      </c>
      <c r="E12" s="24">
        <f>round(D12*10%,2)</f>
        <v>6.43</v>
      </c>
      <c r="F12" s="24">
        <f>Round((D12-E12)*0.0526,2)</f>
        <v>3.05</v>
      </c>
      <c r="G12" s="28">
        <v>25260.0</v>
      </c>
      <c r="H12" s="28">
        <f>round((D12-E12+F12)*G12,2)</f>
        <v>1539849.6</v>
      </c>
      <c r="I12" s="28">
        <f>round(H12*10%,0)</f>
        <v>153985</v>
      </c>
      <c r="J12" s="28">
        <f>H12+I12</f>
        <v>1693834.6</v>
      </c>
    </row>
    <row r="13">
      <c r="A13" s="33" t="s">
        <v>22</v>
      </c>
      <c r="B13" s="32"/>
      <c r="C13" s="35"/>
      <c r="D13" s="39">
        <f t="shared" ref="D13:F13" si="3">sum(D12)</f>
        <v>64.34</v>
      </c>
      <c r="E13" s="39">
        <f t="shared" si="3"/>
        <v>6.43</v>
      </c>
      <c r="F13" s="39">
        <f t="shared" si="3"/>
        <v>3.05</v>
      </c>
      <c r="G13" s="41">
        <f>G12</f>
        <v>25260</v>
      </c>
      <c r="H13" s="41">
        <f t="shared" ref="H13:J13" si="4">sum(H12)</f>
        <v>1539849.6</v>
      </c>
      <c r="I13" s="41">
        <f t="shared" si="4"/>
        <v>153985</v>
      </c>
      <c r="J13" s="41">
        <f t="shared" si="4"/>
        <v>1693834.6</v>
      </c>
    </row>
    <row r="17">
      <c r="A17" s="3" t="s">
        <v>1</v>
      </c>
    </row>
    <row r="18">
      <c r="A18" s="6"/>
      <c r="B18" s="6"/>
      <c r="C18" s="6"/>
      <c r="D18" s="6"/>
      <c r="E18" s="6"/>
      <c r="F18" s="6"/>
      <c r="G18" s="6"/>
      <c r="H18" s="6"/>
    </row>
    <row r="19">
      <c r="A19" s="9" t="s">
        <v>4</v>
      </c>
      <c r="B19" s="9" t="s">
        <v>5</v>
      </c>
      <c r="C19" s="9" t="s">
        <v>6</v>
      </c>
      <c r="D19" s="11" t="s">
        <v>10</v>
      </c>
      <c r="E19" s="11" t="s">
        <v>11</v>
      </c>
      <c r="F19" s="11" t="s">
        <v>12</v>
      </c>
      <c r="G19" s="9" t="s">
        <v>8</v>
      </c>
      <c r="H19" s="9" t="s">
        <v>9</v>
      </c>
      <c r="I19" s="9" t="s">
        <v>14</v>
      </c>
      <c r="J19" s="9" t="s">
        <v>16</v>
      </c>
    </row>
    <row r="20">
      <c r="A20" s="13">
        <v>1.0</v>
      </c>
      <c r="B20" s="17" t="s">
        <v>17</v>
      </c>
      <c r="C20" s="21">
        <v>45505.0</v>
      </c>
      <c r="D20" s="24">
        <v>64.34</v>
      </c>
      <c r="E20" s="24">
        <f>round(D20*10%,2)</f>
        <v>6.43</v>
      </c>
      <c r="F20" s="24">
        <f>Round((D20-E20)*0.0526,2)</f>
        <v>3.05</v>
      </c>
      <c r="G20" s="28">
        <v>24840.0</v>
      </c>
      <c r="H20" s="28">
        <f>round((D20-E20+F20)*G20,2)</f>
        <v>1514246.4</v>
      </c>
      <c r="I20" s="28">
        <f>round(H20*10%,0)</f>
        <v>151425</v>
      </c>
      <c r="J20" s="28">
        <f>H20+I20</f>
        <v>1665671.4</v>
      </c>
    </row>
    <row r="21">
      <c r="A21" s="33" t="s">
        <v>22</v>
      </c>
      <c r="B21" s="32"/>
      <c r="C21" s="35"/>
      <c r="D21" s="39">
        <f t="shared" ref="D21:F21" si="5">sum(D20)</f>
        <v>64.34</v>
      </c>
      <c r="E21" s="39">
        <f t="shared" si="5"/>
        <v>6.43</v>
      </c>
      <c r="F21" s="39">
        <f t="shared" si="5"/>
        <v>3.05</v>
      </c>
      <c r="G21" s="41">
        <f>G20</f>
        <v>24840</v>
      </c>
      <c r="H21" s="41">
        <f t="shared" ref="H21:J21" si="6">sum(H20)</f>
        <v>1514246.4</v>
      </c>
      <c r="I21" s="41">
        <f t="shared" si="6"/>
        <v>151425</v>
      </c>
      <c r="J21" s="41">
        <f t="shared" si="6"/>
        <v>1665671.4</v>
      </c>
    </row>
    <row r="25">
      <c r="A25" s="3" t="s">
        <v>1</v>
      </c>
    </row>
    <row r="26">
      <c r="A26" s="6"/>
      <c r="B26" s="6"/>
      <c r="C26" s="6"/>
      <c r="D26" s="6"/>
      <c r="E26" s="6"/>
      <c r="F26" s="6"/>
      <c r="G26" s="6"/>
      <c r="H26" s="6"/>
    </row>
    <row r="27">
      <c r="A27" s="9" t="s">
        <v>4</v>
      </c>
      <c r="B27" s="9" t="s">
        <v>5</v>
      </c>
      <c r="C27" s="9" t="s">
        <v>6</v>
      </c>
      <c r="D27" s="11" t="s">
        <v>10</v>
      </c>
      <c r="E27" s="11" t="s">
        <v>11</v>
      </c>
      <c r="F27" s="11" t="s">
        <v>12</v>
      </c>
      <c r="G27" s="9" t="s">
        <v>8</v>
      </c>
      <c r="H27" s="9" t="s">
        <v>9</v>
      </c>
      <c r="I27" s="9" t="s">
        <v>14</v>
      </c>
      <c r="J27" s="9" t="s">
        <v>16</v>
      </c>
    </row>
    <row r="28">
      <c r="A28" s="13">
        <v>1.0</v>
      </c>
      <c r="B28" s="17" t="s">
        <v>17</v>
      </c>
      <c r="C28" s="21">
        <v>45536.0</v>
      </c>
      <c r="D28" s="24">
        <v>64.34</v>
      </c>
      <c r="E28" s="24">
        <f>round(D28*10%,2)</f>
        <v>6.43</v>
      </c>
      <c r="F28" s="24">
        <f>Round((D28-E28)*0.0526,2)</f>
        <v>3.05</v>
      </c>
      <c r="G28" s="28">
        <v>25000.0</v>
      </c>
      <c r="H28" s="28">
        <f>round((D28-E28+F28)*G28,2)</f>
        <v>1524000</v>
      </c>
      <c r="I28" s="28">
        <f>round(H28*10%,0)</f>
        <v>152400</v>
      </c>
      <c r="J28" s="28">
        <f>H28+I28</f>
        <v>1676400</v>
      </c>
    </row>
    <row r="29">
      <c r="A29" s="33" t="s">
        <v>22</v>
      </c>
      <c r="B29" s="32"/>
      <c r="C29" s="35"/>
      <c r="D29" s="39">
        <f t="shared" ref="D29:F29" si="7">sum(D28)</f>
        <v>64.34</v>
      </c>
      <c r="E29" s="39">
        <f t="shared" si="7"/>
        <v>6.43</v>
      </c>
      <c r="F29" s="39">
        <f t="shared" si="7"/>
        <v>3.05</v>
      </c>
      <c r="G29" s="41">
        <f>G28</f>
        <v>25000</v>
      </c>
      <c r="H29" s="41">
        <f t="shared" ref="H29:J29" si="8">sum(H28)</f>
        <v>1524000</v>
      </c>
      <c r="I29" s="41">
        <f t="shared" si="8"/>
        <v>152400</v>
      </c>
      <c r="J29" s="41">
        <f t="shared" si="8"/>
        <v>1676400</v>
      </c>
    </row>
    <row r="34">
      <c r="A34" s="3" t="s">
        <v>1</v>
      </c>
    </row>
    <row r="35">
      <c r="A35" s="6"/>
      <c r="B35" s="6"/>
      <c r="C35" s="6"/>
      <c r="D35" s="6"/>
      <c r="E35" s="6"/>
      <c r="F35" s="6"/>
      <c r="G35" s="6"/>
      <c r="H35" s="6"/>
    </row>
    <row r="36">
      <c r="A36" s="9" t="s">
        <v>4</v>
      </c>
      <c r="B36" s="9" t="s">
        <v>5</v>
      </c>
      <c r="C36" s="9" t="s">
        <v>6</v>
      </c>
      <c r="D36" s="11" t="s">
        <v>10</v>
      </c>
      <c r="E36" s="11" t="s">
        <v>11</v>
      </c>
      <c r="F36" s="11" t="s">
        <v>12</v>
      </c>
      <c r="G36" s="9" t="s">
        <v>8</v>
      </c>
      <c r="H36" s="9" t="s">
        <v>9</v>
      </c>
      <c r="I36" s="9" t="s">
        <v>14</v>
      </c>
      <c r="J36" s="9" t="s">
        <v>16</v>
      </c>
    </row>
    <row r="37">
      <c r="A37" s="13">
        <v>1.0</v>
      </c>
      <c r="B37" s="17" t="s">
        <v>17</v>
      </c>
      <c r="C37" s="21">
        <v>45566.0</v>
      </c>
      <c r="D37" s="24">
        <v>64.34</v>
      </c>
      <c r="E37" s="24">
        <f>round(D37*10%,2)</f>
        <v>6.43</v>
      </c>
      <c r="F37" s="24">
        <f>Round((D37-E37)*0.0526,2)</f>
        <v>3.05</v>
      </c>
      <c r="G37" s="28">
        <v>25470.0</v>
      </c>
      <c r="H37" s="28">
        <f>round((D37-E37+F37)*G37,2)</f>
        <v>1552651.2</v>
      </c>
      <c r="I37" s="28">
        <f>round(H37*10%,0)</f>
        <v>155265</v>
      </c>
      <c r="J37" s="28">
        <f>H37+I37</f>
        <v>1707916.2</v>
      </c>
    </row>
    <row r="38">
      <c r="A38" s="33" t="s">
        <v>22</v>
      </c>
      <c r="B38" s="32"/>
      <c r="C38" s="35"/>
      <c r="D38" s="39">
        <f t="shared" ref="D38:F38" si="9">sum(D37)</f>
        <v>64.34</v>
      </c>
      <c r="E38" s="39">
        <f t="shared" si="9"/>
        <v>6.43</v>
      </c>
      <c r="F38" s="39">
        <f t="shared" si="9"/>
        <v>3.05</v>
      </c>
      <c r="G38" s="41">
        <f>G37</f>
        <v>25470</v>
      </c>
      <c r="H38" s="41">
        <f t="shared" ref="H38:J38" si="10">sum(H37)</f>
        <v>1552651.2</v>
      </c>
      <c r="I38" s="41">
        <f t="shared" si="10"/>
        <v>155265</v>
      </c>
      <c r="J38" s="41">
        <f t="shared" si="10"/>
        <v>1707916.2</v>
      </c>
    </row>
    <row r="42">
      <c r="A42" s="3" t="s">
        <v>1</v>
      </c>
    </row>
    <row r="43">
      <c r="A43" s="6"/>
      <c r="B43" s="6"/>
      <c r="C43" s="6"/>
      <c r="D43" s="6"/>
      <c r="E43" s="6"/>
      <c r="F43" s="6"/>
      <c r="G43" s="6"/>
      <c r="H43" s="6"/>
    </row>
    <row r="44">
      <c r="A44" s="9" t="s">
        <v>4</v>
      </c>
      <c r="B44" s="9" t="s">
        <v>5</v>
      </c>
      <c r="C44" s="9" t="s">
        <v>6</v>
      </c>
      <c r="D44" s="11" t="s">
        <v>10</v>
      </c>
      <c r="E44" s="11" t="s">
        <v>11</v>
      </c>
      <c r="F44" s="11" t="s">
        <v>12</v>
      </c>
      <c r="G44" s="9" t="s">
        <v>8</v>
      </c>
      <c r="H44" s="9" t="s">
        <v>9</v>
      </c>
      <c r="I44" s="9" t="s">
        <v>14</v>
      </c>
      <c r="J44" s="9" t="s">
        <v>16</v>
      </c>
    </row>
    <row r="45">
      <c r="A45" s="13">
        <v>1.0</v>
      </c>
      <c r="B45" s="17" t="s">
        <v>17</v>
      </c>
      <c r="C45" s="21">
        <v>45597.0</v>
      </c>
      <c r="D45" s="24">
        <v>64.34</v>
      </c>
      <c r="E45" s="24">
        <f>round(D45*10%,2)</f>
        <v>6.43</v>
      </c>
      <c r="F45" s="24">
        <f>Round((D45-E45)*0.0526,2)</f>
        <v>3.05</v>
      </c>
      <c r="G45" s="28">
        <v>25479.0</v>
      </c>
      <c r="H45" s="28">
        <f>round((D45-E45+F45)*G45,2)</f>
        <v>1553199.84</v>
      </c>
      <c r="I45" s="28">
        <f>round(H45*10%,0)</f>
        <v>155320</v>
      </c>
      <c r="J45" s="28">
        <f>H45+I45</f>
        <v>1708519.84</v>
      </c>
    </row>
    <row r="46">
      <c r="A46" s="33" t="s">
        <v>22</v>
      </c>
      <c r="B46" s="32"/>
      <c r="C46" s="35"/>
      <c r="D46" s="39">
        <f t="shared" ref="D46:F46" si="11">sum(D45)</f>
        <v>64.34</v>
      </c>
      <c r="E46" s="39">
        <f t="shared" si="11"/>
        <v>6.43</v>
      </c>
      <c r="F46" s="39">
        <f t="shared" si="11"/>
        <v>3.05</v>
      </c>
      <c r="G46" s="41">
        <f>G45</f>
        <v>25479</v>
      </c>
      <c r="H46" s="41">
        <f t="shared" ref="H46:J46" si="12">sum(H45)</f>
        <v>1553199.84</v>
      </c>
      <c r="I46" s="41">
        <f t="shared" si="12"/>
        <v>155320</v>
      </c>
      <c r="J46" s="41">
        <f t="shared" si="12"/>
        <v>1708519.84</v>
      </c>
    </row>
    <row r="50">
      <c r="A50" s="3" t="s">
        <v>29</v>
      </c>
    </row>
    <row r="51">
      <c r="A51" s="6"/>
      <c r="B51" s="6"/>
      <c r="C51" s="6"/>
      <c r="D51" s="6"/>
      <c r="E51" s="6"/>
      <c r="F51" s="6"/>
      <c r="G51" s="6"/>
      <c r="H51" s="6"/>
    </row>
    <row r="52">
      <c r="A52" s="9" t="s">
        <v>4</v>
      </c>
      <c r="B52" s="9" t="s">
        <v>5</v>
      </c>
      <c r="C52" s="9" t="s">
        <v>6</v>
      </c>
      <c r="D52" s="11" t="s">
        <v>10</v>
      </c>
      <c r="E52" s="11" t="s">
        <v>11</v>
      </c>
      <c r="F52" s="11" t="s">
        <v>12</v>
      </c>
      <c r="G52" s="9" t="s">
        <v>8</v>
      </c>
      <c r="H52" s="9" t="s">
        <v>9</v>
      </c>
      <c r="I52" s="9" t="s">
        <v>14</v>
      </c>
      <c r="J52" s="9" t="s">
        <v>16</v>
      </c>
    </row>
    <row r="53">
      <c r="A53" s="13">
        <v>1.0</v>
      </c>
      <c r="B53" s="17" t="s">
        <v>17</v>
      </c>
      <c r="C53" s="21">
        <v>45627.0</v>
      </c>
      <c r="D53" s="24">
        <v>64.34</v>
      </c>
      <c r="E53" s="24">
        <f>round(D53*10%,2)</f>
        <v>6.43</v>
      </c>
      <c r="F53" s="24">
        <f>Round((D53-E53)*0.0526,2)</f>
        <v>3.05</v>
      </c>
      <c r="G53" s="28">
        <v>25546.0</v>
      </c>
      <c r="H53" s="28">
        <f>round((D53-E53+F53)*G53,2)</f>
        <v>1557284.16</v>
      </c>
      <c r="I53" s="28">
        <f>round(H53*10%,0)</f>
        <v>155728</v>
      </c>
      <c r="J53" s="28">
        <f>H53+I53</f>
        <v>1713012.16</v>
      </c>
    </row>
    <row r="54">
      <c r="A54" s="33" t="s">
        <v>22</v>
      </c>
      <c r="B54" s="32"/>
      <c r="C54" s="35"/>
      <c r="D54" s="39">
        <f t="shared" ref="D54:F54" si="13">sum(D53)</f>
        <v>64.34</v>
      </c>
      <c r="E54" s="39">
        <f t="shared" si="13"/>
        <v>6.43</v>
      </c>
      <c r="F54" s="39">
        <f t="shared" si="13"/>
        <v>3.05</v>
      </c>
      <c r="G54" s="41">
        <f>G53</f>
        <v>25546</v>
      </c>
      <c r="H54" s="41">
        <f t="shared" ref="H54:J54" si="14">sum(H53)</f>
        <v>1557284.16</v>
      </c>
      <c r="I54" s="41">
        <f t="shared" si="14"/>
        <v>155728</v>
      </c>
      <c r="J54" s="41">
        <f t="shared" si="14"/>
        <v>1713012.16</v>
      </c>
    </row>
    <row r="58">
      <c r="A58" s="3" t="s">
        <v>29</v>
      </c>
    </row>
    <row r="59">
      <c r="A59" s="6"/>
      <c r="B59" s="6"/>
      <c r="C59" s="6"/>
      <c r="D59" s="6"/>
      <c r="E59" s="6"/>
      <c r="F59" s="6"/>
      <c r="G59" s="6"/>
      <c r="H59" s="6"/>
    </row>
    <row r="60">
      <c r="A60" s="9" t="s">
        <v>4</v>
      </c>
      <c r="B60" s="9" t="s">
        <v>5</v>
      </c>
      <c r="C60" s="9" t="s">
        <v>6</v>
      </c>
      <c r="D60" s="11" t="s">
        <v>10</v>
      </c>
      <c r="E60" s="11" t="s">
        <v>11</v>
      </c>
      <c r="F60" s="11" t="s">
        <v>12</v>
      </c>
      <c r="G60" s="9" t="s">
        <v>8</v>
      </c>
      <c r="H60" s="9" t="s">
        <v>9</v>
      </c>
      <c r="I60" s="9" t="s">
        <v>14</v>
      </c>
      <c r="J60" s="9" t="s">
        <v>16</v>
      </c>
    </row>
    <row r="61">
      <c r="A61" s="13">
        <v>1.0</v>
      </c>
      <c r="B61" s="17" t="s">
        <v>17</v>
      </c>
      <c r="C61" s="21">
        <v>45658.0</v>
      </c>
      <c r="D61" s="24">
        <v>64.34</v>
      </c>
      <c r="E61" s="24">
        <f>round(D61*10%,2)</f>
        <v>6.43</v>
      </c>
      <c r="F61" s="24">
        <f>Round((D61-E61)*0.0526,2)</f>
        <v>3.05</v>
      </c>
      <c r="G61" s="28">
        <v>25560.0</v>
      </c>
      <c r="H61" s="28">
        <f>round((D61-E61+F61)*G61,2)</f>
        <v>1558137.6</v>
      </c>
      <c r="I61" s="28">
        <f>round(H61*10%,0)</f>
        <v>155814</v>
      </c>
      <c r="J61" s="28">
        <f>H61+I61</f>
        <v>1713951.6</v>
      </c>
    </row>
    <row r="62">
      <c r="A62" s="33" t="s">
        <v>22</v>
      </c>
      <c r="B62" s="32"/>
      <c r="C62" s="35"/>
      <c r="D62" s="39">
        <f t="shared" ref="D62:F62" si="15">sum(D61)</f>
        <v>64.34</v>
      </c>
      <c r="E62" s="39">
        <f t="shared" si="15"/>
        <v>6.43</v>
      </c>
      <c r="F62" s="39">
        <f t="shared" si="15"/>
        <v>3.05</v>
      </c>
      <c r="G62" s="41">
        <f>G61</f>
        <v>25560</v>
      </c>
      <c r="H62" s="41">
        <f t="shared" ref="H62:J62" si="16">sum(H61)</f>
        <v>1558137.6</v>
      </c>
      <c r="I62" s="41">
        <f t="shared" si="16"/>
        <v>155814</v>
      </c>
      <c r="J62" s="41">
        <f t="shared" si="16"/>
        <v>1713951.6</v>
      </c>
    </row>
    <row r="66">
      <c r="A66" s="3" t="s">
        <v>29</v>
      </c>
    </row>
    <row r="67">
      <c r="A67" s="6"/>
      <c r="B67" s="6"/>
      <c r="C67" s="6"/>
      <c r="D67" s="6"/>
      <c r="E67" s="6"/>
      <c r="F67" s="6"/>
      <c r="G67" s="6"/>
      <c r="H67" s="6"/>
    </row>
    <row r="68">
      <c r="A68" s="9" t="s">
        <v>4</v>
      </c>
      <c r="B68" s="9" t="s">
        <v>5</v>
      </c>
      <c r="C68" s="9" t="s">
        <v>6</v>
      </c>
      <c r="D68" s="11" t="s">
        <v>10</v>
      </c>
      <c r="E68" s="11" t="s">
        <v>11</v>
      </c>
      <c r="F68" s="11" t="s">
        <v>12</v>
      </c>
      <c r="G68" s="9" t="s">
        <v>8</v>
      </c>
      <c r="H68" s="9" t="s">
        <v>9</v>
      </c>
      <c r="I68" s="9" t="s">
        <v>14</v>
      </c>
      <c r="J68" s="9" t="s">
        <v>16</v>
      </c>
    </row>
    <row r="69">
      <c r="A69" s="13">
        <v>1.0</v>
      </c>
      <c r="B69" s="17" t="s">
        <v>17</v>
      </c>
      <c r="C69" s="21">
        <v>45689.0</v>
      </c>
      <c r="D69" s="24">
        <v>64.34</v>
      </c>
      <c r="E69" s="24">
        <f>round(D69*10%,2)</f>
        <v>6.43</v>
      </c>
      <c r="F69" s="24">
        <f>Round((D69-E69)*0.0526,2)</f>
        <v>3.05</v>
      </c>
      <c r="G69" s="28">
        <v>25690.0</v>
      </c>
      <c r="H69" s="28">
        <f>round((D69-E69+F69)*G69,2)</f>
        <v>1566062.4</v>
      </c>
      <c r="I69" s="28">
        <f>round(H69*10%,0)</f>
        <v>156606</v>
      </c>
      <c r="J69" s="28">
        <f>H69+I69</f>
        <v>1722668.4</v>
      </c>
    </row>
    <row r="70">
      <c r="A70" s="33" t="s">
        <v>22</v>
      </c>
      <c r="B70" s="32"/>
      <c r="C70" s="35"/>
      <c r="D70" s="39">
        <f t="shared" ref="D70:F70" si="17">sum(D69)</f>
        <v>64.34</v>
      </c>
      <c r="E70" s="39">
        <f t="shared" si="17"/>
        <v>6.43</v>
      </c>
      <c r="F70" s="39">
        <f t="shared" si="17"/>
        <v>3.05</v>
      </c>
      <c r="G70" s="41">
        <f>G69</f>
        <v>25690</v>
      </c>
      <c r="H70" s="41">
        <f t="shared" ref="H70:J70" si="18">sum(H69)</f>
        <v>1566062.4</v>
      </c>
      <c r="I70" s="41">
        <f t="shared" si="18"/>
        <v>156606</v>
      </c>
      <c r="J70" s="41">
        <f t="shared" si="18"/>
        <v>1722668.4</v>
      </c>
    </row>
    <row r="74">
      <c r="A74" s="3" t="s">
        <v>29</v>
      </c>
    </row>
    <row r="75">
      <c r="A75" s="6"/>
      <c r="B75" s="6"/>
      <c r="C75" s="6"/>
      <c r="D75" s="6"/>
      <c r="E75" s="6"/>
      <c r="F75" s="6"/>
      <c r="G75" s="6"/>
      <c r="H75" s="6"/>
    </row>
    <row r="76">
      <c r="A76" s="9" t="s">
        <v>4</v>
      </c>
      <c r="B76" s="9" t="s">
        <v>5</v>
      </c>
      <c r="C76" s="9" t="s">
        <v>6</v>
      </c>
      <c r="D76" s="11" t="s">
        <v>10</v>
      </c>
      <c r="E76" s="11" t="s">
        <v>11</v>
      </c>
      <c r="F76" s="11" t="s">
        <v>12</v>
      </c>
      <c r="G76" s="9" t="s">
        <v>8</v>
      </c>
      <c r="H76" s="9" t="s">
        <v>9</v>
      </c>
      <c r="I76" s="9" t="s">
        <v>14</v>
      </c>
      <c r="J76" s="9" t="s">
        <v>16</v>
      </c>
    </row>
    <row r="77">
      <c r="A77" s="13">
        <v>1.0</v>
      </c>
      <c r="B77" s="17" t="s">
        <v>17</v>
      </c>
      <c r="C77" s="21">
        <v>45717.0</v>
      </c>
      <c r="D77" s="24">
        <v>64.34</v>
      </c>
      <c r="E77" s="24">
        <f>round(D77*10%,2)</f>
        <v>6.43</v>
      </c>
      <c r="F77" s="24">
        <f>Round((D77-E77)*0.0526,2)</f>
        <v>3.05</v>
      </c>
      <c r="G77" s="28">
        <v>26000.0</v>
      </c>
      <c r="H77" s="28">
        <f>round((D77-E77+F77)*G77,2)</f>
        <v>1584960</v>
      </c>
      <c r="I77" s="28">
        <f>round(H77*10%,0)</f>
        <v>158496</v>
      </c>
      <c r="J77" s="28">
        <f>H77+I77</f>
        <v>1743456</v>
      </c>
    </row>
    <row r="78">
      <c r="A78" s="33" t="s">
        <v>22</v>
      </c>
      <c r="B78" s="32"/>
      <c r="C78" s="35"/>
      <c r="D78" s="39">
        <f t="shared" ref="D78:F78" si="19">sum(D77)</f>
        <v>64.34</v>
      </c>
      <c r="E78" s="39">
        <f t="shared" si="19"/>
        <v>6.43</v>
      </c>
      <c r="F78" s="39">
        <f t="shared" si="19"/>
        <v>3.05</v>
      </c>
      <c r="G78" s="41">
        <f>G77</f>
        <v>26000</v>
      </c>
      <c r="H78" s="41">
        <f t="shared" ref="H78:J78" si="20">sum(H77)</f>
        <v>1584960</v>
      </c>
      <c r="I78" s="41">
        <f t="shared" si="20"/>
        <v>158496</v>
      </c>
      <c r="J78" s="41">
        <f t="shared" si="20"/>
        <v>1743456</v>
      </c>
    </row>
    <row r="82">
      <c r="A82" s="3" t="s">
        <v>29</v>
      </c>
    </row>
    <row r="83">
      <c r="A83" s="6"/>
      <c r="B83" s="6"/>
      <c r="C83" s="6"/>
      <c r="D83" s="6"/>
      <c r="E83" s="6"/>
      <c r="F83" s="6"/>
      <c r="G83" s="6"/>
      <c r="H83" s="6"/>
    </row>
    <row r="84">
      <c r="A84" s="9" t="s">
        <v>4</v>
      </c>
      <c r="B84" s="9" t="s">
        <v>5</v>
      </c>
      <c r="C84" s="9" t="s">
        <v>6</v>
      </c>
      <c r="D84" s="11" t="s">
        <v>10</v>
      </c>
      <c r="E84" s="11" t="s">
        <v>11</v>
      </c>
      <c r="F84" s="11" t="s">
        <v>12</v>
      </c>
      <c r="G84" s="9" t="s">
        <v>8</v>
      </c>
      <c r="H84" s="9" t="s">
        <v>9</v>
      </c>
      <c r="I84" s="9" t="s">
        <v>14</v>
      </c>
      <c r="J84" s="9" t="s">
        <v>16</v>
      </c>
    </row>
    <row r="85">
      <c r="A85" s="13">
        <v>1.0</v>
      </c>
      <c r="B85" s="17" t="s">
        <v>17</v>
      </c>
      <c r="C85" s="21">
        <v>45748.0</v>
      </c>
      <c r="D85" s="24">
        <v>64.34</v>
      </c>
      <c r="E85" s="24">
        <f>round(D85*10%,2)</f>
        <v>6.43</v>
      </c>
      <c r="F85" s="24">
        <f>Round((D85-E85)*0.0526,2)</f>
        <v>3.05</v>
      </c>
      <c r="G85" s="28">
        <v>26140.0</v>
      </c>
      <c r="H85" s="28">
        <f>round((D85-E85+F85)*G85,2)</f>
        <v>1593494.4</v>
      </c>
      <c r="I85" s="28">
        <f>round(H85*10%,0)</f>
        <v>159349</v>
      </c>
      <c r="J85" s="28">
        <f>H85+I85</f>
        <v>1752843.4</v>
      </c>
    </row>
    <row r="86">
      <c r="A86" s="33" t="s">
        <v>22</v>
      </c>
      <c r="B86" s="32"/>
      <c r="C86" s="35"/>
      <c r="D86" s="39">
        <f t="shared" ref="D86:F86" si="21">sum(D85)</f>
        <v>64.34</v>
      </c>
      <c r="E86" s="39">
        <f t="shared" si="21"/>
        <v>6.43</v>
      </c>
      <c r="F86" s="39">
        <f t="shared" si="21"/>
        <v>3.05</v>
      </c>
      <c r="G86" s="41">
        <f>G85</f>
        <v>26140</v>
      </c>
      <c r="H86" s="41">
        <f t="shared" ref="H86:J86" si="22">sum(H85)</f>
        <v>1593494.4</v>
      </c>
      <c r="I86" s="41">
        <f t="shared" si="22"/>
        <v>159349</v>
      </c>
      <c r="J86" s="41">
        <f t="shared" si="22"/>
        <v>1752843.4</v>
      </c>
    </row>
    <row r="90">
      <c r="A90" s="3" t="s">
        <v>29</v>
      </c>
    </row>
    <row r="91">
      <c r="A91" s="6"/>
      <c r="B91" s="6"/>
      <c r="C91" s="6"/>
      <c r="D91" s="6"/>
      <c r="E91" s="6"/>
      <c r="F91" s="6"/>
      <c r="G91" s="6"/>
      <c r="H91" s="6"/>
    </row>
    <row r="92">
      <c r="A92" s="9" t="s">
        <v>4</v>
      </c>
      <c r="B92" s="9" t="s">
        <v>5</v>
      </c>
      <c r="C92" s="9" t="s">
        <v>6</v>
      </c>
      <c r="D92" s="11" t="s">
        <v>10</v>
      </c>
      <c r="E92" s="11" t="s">
        <v>11</v>
      </c>
      <c r="F92" s="11" t="s">
        <v>12</v>
      </c>
      <c r="G92" s="9" t="s">
        <v>8</v>
      </c>
      <c r="H92" s="9" t="s">
        <v>9</v>
      </c>
      <c r="I92" s="9" t="s">
        <v>14</v>
      </c>
      <c r="J92" s="9" t="s">
        <v>16</v>
      </c>
    </row>
    <row r="93">
      <c r="A93" s="13">
        <v>1.0</v>
      </c>
      <c r="B93" s="17" t="s">
        <v>17</v>
      </c>
      <c r="C93" s="21">
        <v>45778.0</v>
      </c>
      <c r="D93" s="24">
        <v>64.34</v>
      </c>
      <c r="E93" s="24">
        <f>round(D93*10%,2)</f>
        <v>6.43</v>
      </c>
      <c r="F93" s="24">
        <f>Round((D93-E93)*0.0526,2)</f>
        <v>3.05</v>
      </c>
      <c r="G93" s="28">
        <v>26220.0</v>
      </c>
      <c r="H93" s="28">
        <f>round((D93-E93+F93)*G93,2)</f>
        <v>1598371.2</v>
      </c>
      <c r="I93" s="28">
        <f>round(H93*10%,0)</f>
        <v>159837</v>
      </c>
      <c r="J93" s="28">
        <f>H93+I93</f>
        <v>1758208.2</v>
      </c>
    </row>
    <row r="94">
      <c r="A94" s="33" t="s">
        <v>22</v>
      </c>
      <c r="B94" s="32"/>
      <c r="C94" s="35"/>
      <c r="D94" s="39">
        <f t="shared" ref="D94:F94" si="23">sum(D93)</f>
        <v>64.34</v>
      </c>
      <c r="E94" s="39">
        <f t="shared" si="23"/>
        <v>6.43</v>
      </c>
      <c r="F94" s="39">
        <f t="shared" si="23"/>
        <v>3.05</v>
      </c>
      <c r="G94" s="41">
        <f>G93</f>
        <v>26220</v>
      </c>
      <c r="H94" s="41">
        <f t="shared" ref="H94:J94" si="24">sum(H93)</f>
        <v>1598371.2</v>
      </c>
      <c r="I94" s="41">
        <f t="shared" si="24"/>
        <v>159837</v>
      </c>
      <c r="J94" s="41">
        <f t="shared" si="24"/>
        <v>1758208.2</v>
      </c>
    </row>
    <row r="98">
      <c r="A98" s="3" t="s">
        <v>29</v>
      </c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9" t="s">
        <v>4</v>
      </c>
      <c r="B100" s="9" t="s">
        <v>5</v>
      </c>
      <c r="C100" s="9" t="s">
        <v>6</v>
      </c>
      <c r="D100" s="11" t="s">
        <v>10</v>
      </c>
      <c r="E100" s="11" t="s">
        <v>11</v>
      </c>
      <c r="F100" s="11" t="s">
        <v>12</v>
      </c>
      <c r="G100" s="9" t="s">
        <v>8</v>
      </c>
      <c r="H100" s="9" t="s">
        <v>9</v>
      </c>
      <c r="I100" s="9" t="s">
        <v>14</v>
      </c>
      <c r="J100" s="9" t="s">
        <v>16</v>
      </c>
    </row>
    <row r="101">
      <c r="A101" s="13">
        <v>1.0</v>
      </c>
      <c r="B101" s="17" t="s">
        <v>17</v>
      </c>
      <c r="C101" s="21">
        <v>45809.0</v>
      </c>
      <c r="D101" s="24">
        <v>64.34</v>
      </c>
      <c r="E101" s="24">
        <f>round(D101*10%,2)</f>
        <v>6.43</v>
      </c>
      <c r="F101" s="24">
        <f>Round((D101-E101)*0.0526,2)</f>
        <v>3.05</v>
      </c>
      <c r="G101" s="28">
        <v>26305.0</v>
      </c>
      <c r="H101" s="28">
        <f>round((D101-E101+F101)*G101,2)</f>
        <v>1603552.8</v>
      </c>
      <c r="I101" s="28">
        <f>round(H101*10%,0)</f>
        <v>160355</v>
      </c>
      <c r="J101" s="28">
        <f>H101+I101</f>
        <v>1763907.8</v>
      </c>
    </row>
    <row r="102">
      <c r="A102" s="33" t="s">
        <v>22</v>
      </c>
      <c r="B102" s="32"/>
      <c r="C102" s="35"/>
      <c r="D102" s="39">
        <f t="shared" ref="D102:F102" si="25">sum(D101)</f>
        <v>64.34</v>
      </c>
      <c r="E102" s="39">
        <f t="shared" si="25"/>
        <v>6.43</v>
      </c>
      <c r="F102" s="39">
        <f t="shared" si="25"/>
        <v>3.05</v>
      </c>
      <c r="G102" s="41">
        <f>G101</f>
        <v>26305</v>
      </c>
      <c r="H102" s="41">
        <f t="shared" ref="H102:J102" si="26">sum(H101)</f>
        <v>1603552.8</v>
      </c>
      <c r="I102" s="41">
        <f t="shared" si="26"/>
        <v>160355</v>
      </c>
      <c r="J102" s="41">
        <f t="shared" si="26"/>
        <v>1763907.8</v>
      </c>
    </row>
    <row r="106">
      <c r="A106" s="3" t="s">
        <v>29</v>
      </c>
    </row>
    <row r="107">
      <c r="A107" s="6"/>
      <c r="B107" s="6"/>
      <c r="C107" s="6"/>
      <c r="D107" s="6"/>
      <c r="E107" s="6"/>
      <c r="F107" s="6"/>
      <c r="G107" s="6"/>
      <c r="H107" s="6"/>
    </row>
    <row r="108">
      <c r="A108" s="9" t="s">
        <v>4</v>
      </c>
      <c r="B108" s="9" t="s">
        <v>5</v>
      </c>
      <c r="C108" s="9" t="s">
        <v>6</v>
      </c>
      <c r="D108" s="11" t="s">
        <v>10</v>
      </c>
      <c r="E108" s="11" t="s">
        <v>11</v>
      </c>
      <c r="F108" s="11" t="s">
        <v>12</v>
      </c>
      <c r="G108" s="9" t="s">
        <v>8</v>
      </c>
      <c r="H108" s="9" t="s">
        <v>9</v>
      </c>
      <c r="I108" s="9" t="s">
        <v>14</v>
      </c>
      <c r="J108" s="9" t="s">
        <v>16</v>
      </c>
    </row>
    <row r="109">
      <c r="A109" s="13">
        <v>1.0</v>
      </c>
      <c r="B109" s="17" t="s">
        <v>17</v>
      </c>
      <c r="C109" s="21">
        <v>45839.0</v>
      </c>
      <c r="D109" s="24">
        <v>64.34</v>
      </c>
      <c r="E109" s="24">
        <f>round(D109*10%,2)</f>
        <v>6.43</v>
      </c>
      <c r="F109" s="24">
        <f>Round((D109-E109)*0.1,2)</f>
        <v>5.79</v>
      </c>
      <c r="G109" s="28">
        <v>26476.0</v>
      </c>
      <c r="H109" s="28">
        <f>round((D109-E109+F109)*G109,2)</f>
        <v>1686521.2</v>
      </c>
      <c r="I109" s="28">
        <f>round(H109*10%,0)</f>
        <v>168652</v>
      </c>
      <c r="J109" s="28">
        <f>H109+I109</f>
        <v>1855173.2</v>
      </c>
    </row>
    <row r="110">
      <c r="A110" s="33" t="s">
        <v>22</v>
      </c>
      <c r="B110" s="32"/>
      <c r="C110" s="35"/>
      <c r="D110" s="39">
        <f t="shared" ref="D110:F110" si="27">sum(D109)</f>
        <v>64.34</v>
      </c>
      <c r="E110" s="39">
        <f t="shared" si="27"/>
        <v>6.43</v>
      </c>
      <c r="F110" s="39">
        <f t="shared" si="27"/>
        <v>5.79</v>
      </c>
      <c r="G110" s="41">
        <f>G109</f>
        <v>26476</v>
      </c>
      <c r="H110" s="41">
        <f t="shared" ref="H110:J110" si="28">sum(H109)</f>
        <v>1686521.2</v>
      </c>
      <c r="I110" s="41">
        <f t="shared" si="28"/>
        <v>168652</v>
      </c>
      <c r="J110" s="41">
        <f t="shared" si="28"/>
        <v>1855173.2</v>
      </c>
    </row>
    <row r="115">
      <c r="A115" s="3" t="s">
        <v>29</v>
      </c>
    </row>
    <row r="116">
      <c r="A116" s="6"/>
      <c r="B116" s="6"/>
      <c r="C116" s="6"/>
      <c r="D116" s="6"/>
      <c r="E116" s="6"/>
      <c r="F116" s="6"/>
      <c r="G116" s="6"/>
      <c r="H116" s="6"/>
    </row>
    <row r="117">
      <c r="A117" s="9" t="s">
        <v>4</v>
      </c>
      <c r="B117" s="9" t="s">
        <v>5</v>
      </c>
      <c r="C117" s="9" t="s">
        <v>6</v>
      </c>
      <c r="D117" s="11" t="s">
        <v>10</v>
      </c>
      <c r="E117" s="11" t="s">
        <v>11</v>
      </c>
      <c r="F117" s="11" t="s">
        <v>12</v>
      </c>
      <c r="G117" s="9" t="s">
        <v>8</v>
      </c>
      <c r="H117" s="9" t="s">
        <v>9</v>
      </c>
      <c r="I117" s="9" t="s">
        <v>14</v>
      </c>
      <c r="J117" s="9" t="s">
        <v>16</v>
      </c>
    </row>
    <row r="118">
      <c r="A118" s="13">
        <v>1.0</v>
      </c>
      <c r="B118" s="17" t="s">
        <v>17</v>
      </c>
      <c r="C118" s="21">
        <v>45870.0</v>
      </c>
      <c r="D118" s="24">
        <v>64.34</v>
      </c>
      <c r="E118" s="24">
        <f>round(D118*10%,2)</f>
        <v>6.43</v>
      </c>
      <c r="F118" s="24">
        <f>Round((D118-E118)*0.1,2)</f>
        <v>5.79</v>
      </c>
      <c r="G118" s="28">
        <v>26468.0</v>
      </c>
      <c r="H118" s="28">
        <f>round((D118-E118+F118)*G118,2)</f>
        <v>1686011.6</v>
      </c>
      <c r="I118" s="28">
        <f>round(H118*10%,0)</f>
        <v>168601</v>
      </c>
      <c r="J118" s="28">
        <f>H118+I118</f>
        <v>1854612.6</v>
      </c>
    </row>
    <row r="119">
      <c r="A119" s="33" t="s">
        <v>22</v>
      </c>
      <c r="B119" s="32"/>
      <c r="C119" s="35"/>
      <c r="D119" s="39">
        <f t="shared" ref="D119:F119" si="29">sum(D118)</f>
        <v>64.34</v>
      </c>
      <c r="E119" s="39">
        <f t="shared" si="29"/>
        <v>6.43</v>
      </c>
      <c r="F119" s="39">
        <f t="shared" si="29"/>
        <v>5.79</v>
      </c>
      <c r="G119" s="41">
        <f>G118</f>
        <v>26468</v>
      </c>
      <c r="H119" s="41">
        <f t="shared" ref="H119:J119" si="30">sum(H118)</f>
        <v>1686011.6</v>
      </c>
      <c r="I119" s="41">
        <f t="shared" si="30"/>
        <v>168601</v>
      </c>
      <c r="J119" s="41">
        <f t="shared" si="30"/>
        <v>1854612.6</v>
      </c>
    </row>
    <row r="124">
      <c r="A124" s="3" t="s">
        <v>29</v>
      </c>
    </row>
    <row r="125">
      <c r="A125" s="6"/>
      <c r="B125" s="6"/>
      <c r="C125" s="6"/>
      <c r="D125" s="6"/>
      <c r="E125" s="6"/>
      <c r="F125" s="6"/>
      <c r="G125" s="6"/>
      <c r="H125" s="6"/>
    </row>
    <row r="126">
      <c r="A126" s="9" t="s">
        <v>4</v>
      </c>
      <c r="B126" s="9" t="s">
        <v>5</v>
      </c>
      <c r="C126" s="9" t="s">
        <v>6</v>
      </c>
      <c r="D126" s="11" t="s">
        <v>10</v>
      </c>
      <c r="E126" s="11" t="s">
        <v>11</v>
      </c>
      <c r="F126" s="11" t="s">
        <v>12</v>
      </c>
      <c r="G126" s="9" t="s">
        <v>8</v>
      </c>
      <c r="H126" s="9" t="s">
        <v>9</v>
      </c>
      <c r="I126" s="9" t="s">
        <v>14</v>
      </c>
      <c r="J126" s="9" t="s">
        <v>16</v>
      </c>
    </row>
    <row r="127">
      <c r="A127" s="13">
        <v>1.0</v>
      </c>
      <c r="B127" s="17" t="s">
        <v>17</v>
      </c>
      <c r="C127" s="21">
        <v>45901.0</v>
      </c>
      <c r="D127" s="24">
        <v>64.34</v>
      </c>
      <c r="E127" s="24">
        <f>round(D127*10%,2)</f>
        <v>6.43</v>
      </c>
      <c r="F127" s="24">
        <f>Round((D127-E127)*0.1,2)</f>
        <v>5.79</v>
      </c>
      <c r="G127" s="28">
        <v>26386.0</v>
      </c>
      <c r="H127" s="28">
        <f>round((D127-E127+F127)*G127,2)</f>
        <v>1680788.2</v>
      </c>
      <c r="I127" s="28">
        <f>round(H127*10%,0)</f>
        <v>168079</v>
      </c>
      <c r="J127" s="28">
        <f>H127+I127</f>
        <v>1848867.2</v>
      </c>
    </row>
    <row r="128">
      <c r="A128" s="33" t="s">
        <v>22</v>
      </c>
      <c r="B128" s="32"/>
      <c r="C128" s="35"/>
      <c r="D128" s="39">
        <f t="shared" ref="D128:F128" si="31">sum(D127)</f>
        <v>64.34</v>
      </c>
      <c r="E128" s="39">
        <f t="shared" si="31"/>
        <v>6.43</v>
      </c>
      <c r="F128" s="39">
        <f t="shared" si="31"/>
        <v>5.79</v>
      </c>
      <c r="G128" s="41">
        <f>G127</f>
        <v>26386</v>
      </c>
      <c r="H128" s="41">
        <f t="shared" ref="H128:J128" si="32">sum(H127)</f>
        <v>1680788.2</v>
      </c>
      <c r="I128" s="41">
        <f t="shared" si="32"/>
        <v>168079</v>
      </c>
      <c r="J128" s="41">
        <f t="shared" si="32"/>
        <v>1848867.2</v>
      </c>
    </row>
    <row r="134">
      <c r="A134" s="3" t="s">
        <v>29</v>
      </c>
    </row>
    <row r="135">
      <c r="A135" s="6"/>
      <c r="B135" s="6"/>
      <c r="C135" s="6"/>
      <c r="D135" s="6"/>
      <c r="E135" s="6"/>
      <c r="F135" s="6"/>
      <c r="G135" s="6"/>
      <c r="H135" s="6"/>
    </row>
    <row r="136">
      <c r="A136" s="9" t="s">
        <v>4</v>
      </c>
      <c r="B136" s="9" t="s">
        <v>5</v>
      </c>
      <c r="C136" s="9" t="s">
        <v>6</v>
      </c>
      <c r="D136" s="11" t="s">
        <v>10</v>
      </c>
      <c r="E136" s="11" t="s">
        <v>11</v>
      </c>
      <c r="F136" s="11" t="s">
        <v>12</v>
      </c>
      <c r="G136" s="9" t="s">
        <v>8</v>
      </c>
      <c r="H136" s="9" t="s">
        <v>9</v>
      </c>
      <c r="I136" s="9" t="s">
        <v>14</v>
      </c>
      <c r="J136" s="9" t="s">
        <v>16</v>
      </c>
    </row>
    <row r="137">
      <c r="A137" s="13">
        <v>1.0</v>
      </c>
      <c r="B137" s="17" t="s">
        <v>17</v>
      </c>
      <c r="C137" s="21">
        <v>45931.0</v>
      </c>
      <c r="D137" s="24">
        <v>64.34</v>
      </c>
      <c r="E137" s="24">
        <f>round(D137*10%,2)</f>
        <v>6.43</v>
      </c>
      <c r="F137" s="24">
        <f>Round((D137-E137)*0.1,2)</f>
        <v>5.79</v>
      </c>
      <c r="G137" s="28">
        <v>26358.0</v>
      </c>
      <c r="H137" s="28">
        <f>round((D137-E137+F137)*G137,2)</f>
        <v>1679004.6</v>
      </c>
      <c r="I137" s="28">
        <f>round(H137*10%,0)</f>
        <v>167900</v>
      </c>
      <c r="J137" s="28">
        <f>H137+I137</f>
        <v>1846904.6</v>
      </c>
    </row>
    <row r="138">
      <c r="A138" s="33" t="s">
        <v>22</v>
      </c>
      <c r="B138" s="32"/>
      <c r="C138" s="35"/>
      <c r="D138" s="39">
        <f t="shared" ref="D138:F138" si="33">sum(D137)</f>
        <v>64.34</v>
      </c>
      <c r="E138" s="39">
        <f t="shared" si="33"/>
        <v>6.43</v>
      </c>
      <c r="F138" s="39">
        <f t="shared" si="33"/>
        <v>5.79</v>
      </c>
      <c r="G138" s="41">
        <f>G137</f>
        <v>26358</v>
      </c>
      <c r="H138" s="41">
        <f t="shared" ref="H138:J138" si="34">sum(H137)</f>
        <v>1679004.6</v>
      </c>
      <c r="I138" s="41">
        <f t="shared" si="34"/>
        <v>167900</v>
      </c>
      <c r="J138" s="41">
        <f t="shared" si="34"/>
        <v>1846904.6</v>
      </c>
    </row>
    <row r="143">
      <c r="A143" s="3" t="s">
        <v>29</v>
      </c>
    </row>
    <row r="144">
      <c r="A144" s="6"/>
      <c r="B144" s="6"/>
      <c r="C144" s="6"/>
      <c r="D144" s="6"/>
      <c r="E144" s="6"/>
      <c r="F144" s="6"/>
      <c r="G144" s="6"/>
      <c r="H144" s="6"/>
    </row>
    <row r="145">
      <c r="A145" s="9" t="s">
        <v>4</v>
      </c>
      <c r="B145" s="9" t="s">
        <v>5</v>
      </c>
      <c r="C145" s="9" t="s">
        <v>6</v>
      </c>
      <c r="D145" s="11" t="s">
        <v>10</v>
      </c>
      <c r="E145" s="11" t="s">
        <v>11</v>
      </c>
      <c r="F145" s="11" t="s">
        <v>12</v>
      </c>
      <c r="G145" s="9" t="s">
        <v>8</v>
      </c>
      <c r="H145" s="9" t="s">
        <v>9</v>
      </c>
      <c r="I145" s="9" t="s">
        <v>14</v>
      </c>
      <c r="J145" s="9" t="s">
        <v>16</v>
      </c>
    </row>
    <row r="146">
      <c r="A146" s="13">
        <v>1.0</v>
      </c>
      <c r="B146" s="17" t="s">
        <v>17</v>
      </c>
      <c r="C146" s="21">
        <v>45962.0</v>
      </c>
      <c r="D146" s="24">
        <v>64.34</v>
      </c>
      <c r="E146" s="24">
        <f>round(D146*10%,2)</f>
        <v>6.43</v>
      </c>
      <c r="F146" s="24">
        <f>Round((D146-E146)*0.1,2)</f>
        <v>5.79</v>
      </c>
      <c r="G146" s="28">
        <v>26409.0</v>
      </c>
      <c r="H146" s="28">
        <f>round((D146-E146+F146)*G146,2)</f>
        <v>1682253.3</v>
      </c>
      <c r="I146" s="28">
        <f>round(H146*10%,0)</f>
        <v>168225</v>
      </c>
      <c r="J146" s="28">
        <f>H146+I146</f>
        <v>1850478.3</v>
      </c>
    </row>
    <row r="147">
      <c r="A147" s="33" t="s">
        <v>22</v>
      </c>
      <c r="B147" s="32"/>
      <c r="C147" s="35"/>
      <c r="D147" s="39">
        <f t="shared" ref="D147:F147" si="35">sum(D146)</f>
        <v>64.34</v>
      </c>
      <c r="E147" s="39">
        <f t="shared" si="35"/>
        <v>6.43</v>
      </c>
      <c r="F147" s="39">
        <f t="shared" si="35"/>
        <v>5.79</v>
      </c>
      <c r="G147" s="41">
        <f>G146</f>
        <v>26409</v>
      </c>
      <c r="H147" s="41">
        <f t="shared" ref="H147:J147" si="36">sum(H146)</f>
        <v>1682253.3</v>
      </c>
      <c r="I147" s="41">
        <f t="shared" si="36"/>
        <v>168225</v>
      </c>
      <c r="J147" s="41">
        <f t="shared" si="36"/>
        <v>1850478.3</v>
      </c>
    </row>
    <row r="153">
      <c r="A153" s="3" t="s">
        <v>29</v>
      </c>
    </row>
    <row r="154">
      <c r="A154" s="6"/>
      <c r="B154" s="6"/>
      <c r="C154" s="6"/>
      <c r="D154" s="6"/>
      <c r="E154" s="6"/>
      <c r="F154" s="6"/>
      <c r="G154" s="6"/>
      <c r="H154" s="6"/>
    </row>
    <row r="155">
      <c r="A155" s="9" t="s">
        <v>4</v>
      </c>
      <c r="B155" s="9" t="s">
        <v>5</v>
      </c>
      <c r="C155" s="9" t="s">
        <v>6</v>
      </c>
      <c r="D155" s="11" t="s">
        <v>10</v>
      </c>
      <c r="E155" s="11" t="s">
        <v>11</v>
      </c>
      <c r="F155" s="11" t="s">
        <v>12</v>
      </c>
      <c r="G155" s="9" t="s">
        <v>8</v>
      </c>
      <c r="H155" s="9" t="s">
        <v>9</v>
      </c>
      <c r="I155" s="9" t="s">
        <v>14</v>
      </c>
      <c r="J155" s="9" t="s">
        <v>16</v>
      </c>
    </row>
    <row r="156">
      <c r="A156" s="13">
        <v>1.0</v>
      </c>
      <c r="B156" s="17" t="s">
        <v>17</v>
      </c>
      <c r="C156" s="21">
        <v>45992.0</v>
      </c>
      <c r="D156" s="24">
        <v>64.34</v>
      </c>
      <c r="E156" s="24">
        <f>round(D156*10%,2)</f>
        <v>6.43</v>
      </c>
      <c r="F156" s="24">
        <f>Round((D156-E156)*0.1,2)</f>
        <v>5.79</v>
      </c>
      <c r="G156" s="28">
        <v>26378.0</v>
      </c>
      <c r="H156" s="28">
        <f>round((D156-E156+F156)*G156,2)</f>
        <v>1680278.6</v>
      </c>
      <c r="I156" s="28">
        <f>round(H156*10%,0)</f>
        <v>168028</v>
      </c>
      <c r="J156" s="28">
        <f>H156+I156</f>
        <v>1848306.6</v>
      </c>
    </row>
    <row r="157">
      <c r="A157" s="33" t="s">
        <v>22</v>
      </c>
      <c r="B157" s="32"/>
      <c r="C157" s="35"/>
      <c r="D157" s="39">
        <f t="shared" ref="D157:F157" si="37">sum(D156)</f>
        <v>64.34</v>
      </c>
      <c r="E157" s="39">
        <f t="shared" si="37"/>
        <v>6.43</v>
      </c>
      <c r="F157" s="39">
        <f t="shared" si="37"/>
        <v>5.79</v>
      </c>
      <c r="G157" s="41">
        <f>G156</f>
        <v>26378</v>
      </c>
      <c r="H157" s="41">
        <f t="shared" ref="H157:J157" si="38">sum(H156)</f>
        <v>1680278.6</v>
      </c>
      <c r="I157" s="41">
        <f t="shared" si="38"/>
        <v>168028</v>
      </c>
      <c r="J157" s="41">
        <f t="shared" si="38"/>
        <v>1848306.6</v>
      </c>
    </row>
    <row r="162">
      <c r="A162" s="3" t="s">
        <v>29</v>
      </c>
    </row>
    <row r="163">
      <c r="A163" s="6"/>
      <c r="B163" s="6"/>
      <c r="C163" s="6"/>
      <c r="D163" s="6"/>
      <c r="E163" s="6"/>
      <c r="F163" s="6"/>
      <c r="G163" s="6"/>
      <c r="H163" s="6"/>
    </row>
    <row r="164">
      <c r="A164" s="9" t="s">
        <v>4</v>
      </c>
      <c r="B164" s="9" t="s">
        <v>5</v>
      </c>
      <c r="C164" s="9" t="s">
        <v>6</v>
      </c>
      <c r="D164" s="11" t="s">
        <v>10</v>
      </c>
      <c r="E164" s="11" t="s">
        <v>11</v>
      </c>
      <c r="F164" s="11" t="s">
        <v>12</v>
      </c>
      <c r="G164" s="9" t="s">
        <v>8</v>
      </c>
      <c r="H164" s="9" t="s">
        <v>9</v>
      </c>
      <c r="I164" s="9" t="s">
        <v>14</v>
      </c>
      <c r="J164" s="9" t="s">
        <v>16</v>
      </c>
    </row>
    <row r="165">
      <c r="A165" s="13">
        <v>1.0</v>
      </c>
      <c r="B165" s="17" t="s">
        <v>17</v>
      </c>
      <c r="C165" s="21">
        <v>46023.0</v>
      </c>
      <c r="D165" s="24">
        <v>64.34</v>
      </c>
      <c r="E165" s="24">
        <f>round(D165*10%,2)</f>
        <v>6.43</v>
      </c>
      <c r="F165" s="24">
        <f>Round((D165-E165)*0.1,2)</f>
        <v>5.79</v>
      </c>
      <c r="G165" s="28">
        <v>26150.0</v>
      </c>
      <c r="H165" s="28">
        <f>round((D165-E165+F165)*G165,2)</f>
        <v>1665755</v>
      </c>
      <c r="I165" s="28">
        <f>round(H165*10%,0)</f>
        <v>166576</v>
      </c>
      <c r="J165" s="28">
        <f>H165+I165</f>
        <v>1832331</v>
      </c>
    </row>
    <row r="166">
      <c r="A166" s="33" t="s">
        <v>22</v>
      </c>
      <c r="B166" s="32"/>
      <c r="C166" s="35"/>
      <c r="D166" s="39">
        <f t="shared" ref="D166:F166" si="39">sum(D165)</f>
        <v>64.34</v>
      </c>
      <c r="E166" s="39">
        <f t="shared" si="39"/>
        <v>6.43</v>
      </c>
      <c r="F166" s="39">
        <f t="shared" si="39"/>
        <v>5.79</v>
      </c>
      <c r="G166" s="41">
        <f>G165</f>
        <v>26150</v>
      </c>
      <c r="H166" s="41">
        <f t="shared" ref="H166:J166" si="40">sum(H165)</f>
        <v>1665755</v>
      </c>
      <c r="I166" s="41">
        <f t="shared" si="40"/>
        <v>166576</v>
      </c>
      <c r="J166" s="41">
        <f t="shared" si="40"/>
        <v>1832331</v>
      </c>
    </row>
    <row r="172">
      <c r="A172" s="3" t="s">
        <v>29</v>
      </c>
    </row>
    <row r="173">
      <c r="A173" s="6"/>
      <c r="B173" s="6"/>
      <c r="C173" s="6"/>
      <c r="D173" s="6"/>
      <c r="E173" s="6"/>
      <c r="F173" s="6"/>
      <c r="G173" s="6"/>
      <c r="H173" s="6"/>
    </row>
    <row r="174">
      <c r="A174" s="9" t="s">
        <v>4</v>
      </c>
      <c r="B174" s="9" t="s">
        <v>5</v>
      </c>
      <c r="C174" s="9" t="s">
        <v>6</v>
      </c>
      <c r="D174" s="11" t="s">
        <v>10</v>
      </c>
      <c r="E174" s="11" t="s">
        <v>11</v>
      </c>
      <c r="F174" s="11" t="s">
        <v>12</v>
      </c>
      <c r="G174" s="9" t="s">
        <v>8</v>
      </c>
      <c r="H174" s="9" t="s">
        <v>9</v>
      </c>
      <c r="I174" s="9" t="s">
        <v>14</v>
      </c>
      <c r="J174" s="9" t="s">
        <v>16</v>
      </c>
    </row>
    <row r="175">
      <c r="A175" s="13">
        <v>1.0</v>
      </c>
      <c r="B175" s="17" t="s">
        <v>17</v>
      </c>
      <c r="C175" s="21">
        <v>46054.0</v>
      </c>
      <c r="D175" s="24">
        <v>64.34</v>
      </c>
      <c r="E175" s="24">
        <f>round(D175*10%,2)</f>
        <v>6.43</v>
      </c>
      <c r="F175" s="24">
        <f>Round((D175-E175)*0.1,2)</f>
        <v>5.79</v>
      </c>
      <c r="G175" s="28">
        <v>26315.0</v>
      </c>
      <c r="H175" s="28">
        <f>round((D175-E175+F175)*G175,2)</f>
        <v>1676265.5</v>
      </c>
      <c r="I175" s="28">
        <f>round(H175*10%,0)</f>
        <v>167627</v>
      </c>
      <c r="J175" s="28">
        <f>H175+I175</f>
        <v>1843892.5</v>
      </c>
    </row>
    <row r="176">
      <c r="A176" s="33" t="s">
        <v>22</v>
      </c>
      <c r="B176" s="32"/>
      <c r="C176" s="35"/>
      <c r="D176" s="39">
        <f t="shared" ref="D176:F176" si="41">sum(D175)</f>
        <v>64.34</v>
      </c>
      <c r="E176" s="39">
        <f t="shared" si="41"/>
        <v>6.43</v>
      </c>
      <c r="F176" s="39">
        <f t="shared" si="41"/>
        <v>5.79</v>
      </c>
      <c r="G176" s="41">
        <f>G175</f>
        <v>26315</v>
      </c>
      <c r="H176" s="41">
        <f t="shared" ref="H176:J176" si="42">sum(H175)</f>
        <v>1676265.5</v>
      </c>
      <c r="I176" s="41">
        <f t="shared" si="42"/>
        <v>167627</v>
      </c>
      <c r="J176" s="41">
        <f t="shared" si="42"/>
        <v>1843892.5</v>
      </c>
    </row>
    <row r="181">
      <c r="A181" s="3" t="s">
        <v>29</v>
      </c>
    </row>
    <row r="182">
      <c r="A182" s="6"/>
      <c r="B182" s="6"/>
      <c r="C182" s="6"/>
      <c r="D182" s="6"/>
      <c r="E182" s="6"/>
      <c r="F182" s="6"/>
      <c r="G182" s="6"/>
      <c r="H182" s="6"/>
    </row>
    <row r="183">
      <c r="A183" s="9" t="s">
        <v>4</v>
      </c>
      <c r="B183" s="9" t="s">
        <v>5</v>
      </c>
      <c r="C183" s="9" t="s">
        <v>6</v>
      </c>
      <c r="D183" s="11" t="s">
        <v>10</v>
      </c>
      <c r="E183" s="11" t="s">
        <v>11</v>
      </c>
      <c r="F183" s="11" t="s">
        <v>12</v>
      </c>
      <c r="G183" s="9" t="s">
        <v>8</v>
      </c>
      <c r="H183" s="9" t="s">
        <v>9</v>
      </c>
      <c r="I183" s="9" t="s">
        <v>14</v>
      </c>
      <c r="J183" s="9" t="s">
        <v>16</v>
      </c>
    </row>
    <row r="184">
      <c r="A184" s="13">
        <v>1.0</v>
      </c>
      <c r="B184" s="17" t="s">
        <v>17</v>
      </c>
      <c r="C184" s="21">
        <v>46082.0</v>
      </c>
      <c r="D184" s="24">
        <v>64.34</v>
      </c>
      <c r="E184" s="24">
        <f>round(D184*10%,2)</f>
        <v>6.43</v>
      </c>
      <c r="F184" s="24">
        <f>Round((D184-E184)*0.1,2)</f>
        <v>5.79</v>
      </c>
      <c r="G184" s="28">
        <v>26361.0</v>
      </c>
      <c r="H184" s="28">
        <f>round((D184-E184+F184)*G184,2)</f>
        <v>1679195.7</v>
      </c>
      <c r="I184" s="28">
        <f>round(H184*10%,0)</f>
        <v>167920</v>
      </c>
      <c r="J184" s="28">
        <f>H184+I184</f>
        <v>1847115.7</v>
      </c>
    </row>
    <row r="185">
      <c r="A185" s="33" t="s">
        <v>22</v>
      </c>
      <c r="B185" s="32"/>
      <c r="C185" s="35"/>
      <c r="D185" s="39">
        <f t="shared" ref="D185:F185" si="43">sum(D184)</f>
        <v>64.34</v>
      </c>
      <c r="E185" s="39">
        <f t="shared" si="43"/>
        <v>6.43</v>
      </c>
      <c r="F185" s="39">
        <f t="shared" si="43"/>
        <v>5.79</v>
      </c>
      <c r="G185" s="41">
        <f>G184</f>
        <v>26361</v>
      </c>
      <c r="H185" s="41">
        <f t="shared" ref="H185:J185" si="44">sum(H184)</f>
        <v>1679195.7</v>
      </c>
      <c r="I185" s="41">
        <f t="shared" si="44"/>
        <v>167920</v>
      </c>
      <c r="J185" s="41">
        <f t="shared" si="44"/>
        <v>1847115.7</v>
      </c>
    </row>
    <row r="190">
      <c r="A190" s="3" t="s">
        <v>29</v>
      </c>
    </row>
    <row r="191">
      <c r="A191" s="6"/>
      <c r="B191" s="6"/>
      <c r="C191" s="6"/>
      <c r="D191" s="6"/>
      <c r="E191" s="6"/>
      <c r="F191" s="6"/>
      <c r="G191" s="6"/>
      <c r="H191" s="6"/>
    </row>
    <row r="192">
      <c r="A192" s="9" t="s">
        <v>4</v>
      </c>
      <c r="B192" s="9" t="s">
        <v>5</v>
      </c>
      <c r="C192" s="9" t="s">
        <v>6</v>
      </c>
      <c r="D192" s="11" t="s">
        <v>10</v>
      </c>
      <c r="E192" s="11" t="s">
        <v>11</v>
      </c>
      <c r="F192" s="11" t="s">
        <v>12</v>
      </c>
      <c r="G192" s="9" t="s">
        <v>8</v>
      </c>
      <c r="H192" s="9" t="s">
        <v>9</v>
      </c>
      <c r="I192" s="9" t="s">
        <v>14</v>
      </c>
      <c r="J192" s="9" t="s">
        <v>16</v>
      </c>
    </row>
    <row r="193">
      <c r="A193" s="13">
        <v>1.0</v>
      </c>
      <c r="B193" s="17" t="s">
        <v>17</v>
      </c>
      <c r="C193" s="21">
        <v>46113.0</v>
      </c>
      <c r="D193" s="24">
        <v>64.34</v>
      </c>
      <c r="E193" s="24">
        <f>round(D193*10%,2)</f>
        <v>6.43</v>
      </c>
      <c r="F193" s="24">
        <f>Round((D193-E193)*0.1,2)</f>
        <v>5.79</v>
      </c>
      <c r="G193" s="28">
        <v>26368.0</v>
      </c>
      <c r="H193" s="28">
        <f>round((D193-E193+F193)*G193,2)</f>
        <v>1679641.6</v>
      </c>
      <c r="I193" s="28">
        <f>round(H193*10%,0)</f>
        <v>167964</v>
      </c>
      <c r="J193" s="28">
        <f>H193+I193</f>
        <v>1847605.6</v>
      </c>
    </row>
    <row r="194">
      <c r="A194" s="33" t="s">
        <v>22</v>
      </c>
      <c r="B194" s="32"/>
      <c r="C194" s="35"/>
      <c r="D194" s="39">
        <f t="shared" ref="D194:F194" si="45">sum(D193)</f>
        <v>64.34</v>
      </c>
      <c r="E194" s="39">
        <f t="shared" si="45"/>
        <v>6.43</v>
      </c>
      <c r="F194" s="39">
        <f t="shared" si="45"/>
        <v>5.79</v>
      </c>
      <c r="G194" s="41">
        <f>G193</f>
        <v>26368</v>
      </c>
      <c r="H194" s="41">
        <f t="shared" ref="H194:J194" si="46">sum(H193)</f>
        <v>1679641.6</v>
      </c>
      <c r="I194" s="41">
        <f t="shared" si="46"/>
        <v>167964</v>
      </c>
      <c r="J194" s="41">
        <f t="shared" si="46"/>
        <v>1847605.6</v>
      </c>
    </row>
    <row r="200">
      <c r="A200" s="3" t="s">
        <v>29</v>
      </c>
    </row>
    <row r="201">
      <c r="A201" s="6"/>
      <c r="B201" s="6"/>
      <c r="C201" s="6"/>
      <c r="D201" s="6"/>
      <c r="E201" s="6"/>
      <c r="F201" s="6"/>
      <c r="G201" s="6"/>
      <c r="H201" s="6"/>
    </row>
    <row r="202">
      <c r="A202" s="9" t="s">
        <v>4</v>
      </c>
      <c r="B202" s="9" t="s">
        <v>5</v>
      </c>
      <c r="C202" s="9" t="s">
        <v>6</v>
      </c>
      <c r="D202" s="11" t="s">
        <v>10</v>
      </c>
      <c r="E202" s="11" t="s">
        <v>11</v>
      </c>
      <c r="F202" s="11" t="s">
        <v>12</v>
      </c>
      <c r="G202" s="9" t="s">
        <v>8</v>
      </c>
      <c r="H202" s="9" t="s">
        <v>9</v>
      </c>
      <c r="I202" s="9" t="s">
        <v>14</v>
      </c>
      <c r="J202" s="9" t="s">
        <v>16</v>
      </c>
    </row>
    <row r="203">
      <c r="A203" s="13">
        <v>1.0</v>
      </c>
      <c r="B203" s="17" t="s">
        <v>17</v>
      </c>
      <c r="C203" s="21">
        <v>46143.0</v>
      </c>
      <c r="D203" s="24">
        <v>64.34</v>
      </c>
      <c r="E203" s="24">
        <f>round(D203*10%,2)</f>
        <v>6.43</v>
      </c>
      <c r="F203" s="24">
        <f>Round((D203-E203)*0.1,2)</f>
        <v>5.79</v>
      </c>
      <c r="G203" s="28">
        <v>26404.0</v>
      </c>
      <c r="H203" s="28">
        <f>round((D203-E203+F203)*G203,0)</f>
        <v>1681935</v>
      </c>
      <c r="I203" s="28">
        <f>round(H203*10%,0)</f>
        <v>168194</v>
      </c>
      <c r="J203" s="28">
        <f>H203+I203</f>
        <v>1850129</v>
      </c>
    </row>
    <row r="204">
      <c r="A204" s="33" t="s">
        <v>22</v>
      </c>
      <c r="B204" s="32"/>
      <c r="C204" s="35"/>
      <c r="D204" s="39">
        <f t="shared" ref="D204:F204" si="47">sum(D203)</f>
        <v>64.34</v>
      </c>
      <c r="E204" s="39">
        <f t="shared" si="47"/>
        <v>6.43</v>
      </c>
      <c r="F204" s="39">
        <f t="shared" si="47"/>
        <v>5.79</v>
      </c>
      <c r="G204" s="41">
        <f>G203</f>
        <v>26404</v>
      </c>
      <c r="H204" s="41">
        <f t="shared" ref="H204:J204" si="48">sum(H203)</f>
        <v>1681935</v>
      </c>
      <c r="I204" s="41">
        <f t="shared" si="48"/>
        <v>168194</v>
      </c>
      <c r="J204" s="41">
        <f t="shared" si="48"/>
        <v>1850129</v>
      </c>
    </row>
    <row r="210">
      <c r="A210" s="3" t="s">
        <v>29</v>
      </c>
    </row>
    <row r="211">
      <c r="A211" s="6"/>
      <c r="B211" s="6"/>
      <c r="C211" s="6"/>
      <c r="D211" s="6"/>
      <c r="E211" s="6"/>
      <c r="F211" s="6"/>
      <c r="G211" s="6"/>
      <c r="H211" s="6"/>
    </row>
    <row r="212">
      <c r="A212" s="9" t="s">
        <v>4</v>
      </c>
      <c r="B212" s="9" t="s">
        <v>5</v>
      </c>
      <c r="C212" s="9" t="s">
        <v>6</v>
      </c>
      <c r="D212" s="11" t="s">
        <v>10</v>
      </c>
      <c r="E212" s="11" t="s">
        <v>11</v>
      </c>
      <c r="F212" s="11" t="s">
        <v>12</v>
      </c>
      <c r="G212" s="9" t="s">
        <v>8</v>
      </c>
      <c r="H212" s="9" t="s">
        <v>9</v>
      </c>
      <c r="I212" s="9" t="s">
        <v>14</v>
      </c>
      <c r="J212" s="9" t="s">
        <v>16</v>
      </c>
    </row>
    <row r="213">
      <c r="A213" s="13">
        <v>1.0</v>
      </c>
      <c r="B213" s="17" t="s">
        <v>17</v>
      </c>
      <c r="C213" s="21">
        <v>46174.0</v>
      </c>
      <c r="D213" s="24">
        <v>64.34</v>
      </c>
      <c r="E213" s="24">
        <f>round(D213*10%,2)</f>
        <v>6.43</v>
      </c>
      <c r="F213" s="24">
        <f>Round((D213-E213)*0.1,2)</f>
        <v>5.79</v>
      </c>
      <c r="G213" s="28">
        <v>26463.0</v>
      </c>
      <c r="H213" s="28">
        <f>round((D213-E213+F213)*G213,0)</f>
        <v>1685693</v>
      </c>
      <c r="I213" s="28">
        <f>round(H213*10%,0)</f>
        <v>168569</v>
      </c>
      <c r="J213" s="28">
        <f>H213+I213</f>
        <v>1854262</v>
      </c>
    </row>
    <row r="214">
      <c r="A214" s="33" t="s">
        <v>22</v>
      </c>
      <c r="B214" s="32"/>
      <c r="C214" s="35"/>
      <c r="D214" s="39">
        <f t="shared" ref="D214:F214" si="49">sum(D213)</f>
        <v>64.34</v>
      </c>
      <c r="E214" s="39">
        <f t="shared" si="49"/>
        <v>6.43</v>
      </c>
      <c r="F214" s="39">
        <f t="shared" si="49"/>
        <v>5.79</v>
      </c>
      <c r="G214" s="41">
        <f>G213</f>
        <v>26463</v>
      </c>
      <c r="H214" s="41">
        <f t="shared" ref="H214:J214" si="50">sum(H213)</f>
        <v>1685693</v>
      </c>
      <c r="I214" s="41">
        <f t="shared" si="50"/>
        <v>168569</v>
      </c>
      <c r="J214" s="41">
        <f t="shared" si="50"/>
        <v>1854262</v>
      </c>
    </row>
    <row r="220">
      <c r="A220" s="3" t="s">
        <v>29</v>
      </c>
    </row>
    <row r="221">
      <c r="A221" s="6"/>
      <c r="B221" s="6"/>
      <c r="C221" s="6"/>
      <c r="D221" s="6"/>
      <c r="E221" s="6"/>
      <c r="F221" s="6"/>
      <c r="G221" s="6"/>
      <c r="H221" s="6"/>
    </row>
    <row r="222">
      <c r="A222" s="9" t="s">
        <v>4</v>
      </c>
      <c r="B222" s="9" t="s">
        <v>5</v>
      </c>
      <c r="C222" s="9" t="s">
        <v>6</v>
      </c>
      <c r="D222" s="11" t="s">
        <v>10</v>
      </c>
      <c r="E222" s="11" t="s">
        <v>11</v>
      </c>
      <c r="F222" s="11" t="s">
        <v>12</v>
      </c>
      <c r="G222" s="9" t="s">
        <v>8</v>
      </c>
      <c r="H222" s="9" t="s">
        <v>9</v>
      </c>
      <c r="I222" s="9" t="s">
        <v>14</v>
      </c>
      <c r="J222" s="9" t="s">
        <v>16</v>
      </c>
    </row>
    <row r="223">
      <c r="A223" s="13">
        <v>1.0</v>
      </c>
      <c r="B223" s="17" t="s">
        <v>17</v>
      </c>
      <c r="C223" s="21">
        <v>46204.0</v>
      </c>
      <c r="D223" s="24">
        <v>64.34</v>
      </c>
      <c r="E223" s="24">
        <f>round(D223*10%,2)</f>
        <v>6.43</v>
      </c>
      <c r="F223" s="24">
        <f>Round((D223-E223)*0.1,2)</f>
        <v>5.79</v>
      </c>
      <c r="G223" s="28">
        <v>26350.0</v>
      </c>
      <c r="H223" s="28">
        <f>round((D223-E223+F223)*G223,0)</f>
        <v>1678495</v>
      </c>
      <c r="I223" s="28">
        <f>round(H223*10%,0)</f>
        <v>167850</v>
      </c>
      <c r="J223" s="28">
        <f>H223+I223</f>
        <v>1846345</v>
      </c>
    </row>
    <row r="224">
      <c r="A224" s="33" t="s">
        <v>22</v>
      </c>
      <c r="B224" s="32"/>
      <c r="C224" s="35"/>
      <c r="D224" s="39">
        <f t="shared" ref="D224:F224" si="51">sum(D223)</f>
        <v>64.34</v>
      </c>
      <c r="E224" s="39">
        <f t="shared" si="51"/>
        <v>6.43</v>
      </c>
      <c r="F224" s="39">
        <f t="shared" si="51"/>
        <v>5.79</v>
      </c>
      <c r="G224" s="41">
        <f>G223</f>
        <v>26350</v>
      </c>
      <c r="H224" s="41">
        <f t="shared" ref="H224:J224" si="52">sum(H223)</f>
        <v>1678495</v>
      </c>
      <c r="I224" s="41">
        <f t="shared" si="52"/>
        <v>167850</v>
      </c>
      <c r="J224" s="41">
        <f t="shared" si="52"/>
        <v>1846345</v>
      </c>
    </row>
  </sheetData>
  <mergeCells count="52">
    <mergeCell ref="A1:J1"/>
    <mergeCell ref="A5:B5"/>
    <mergeCell ref="A9:J9"/>
    <mergeCell ref="A13:B13"/>
    <mergeCell ref="A17:J17"/>
    <mergeCell ref="A21:B21"/>
    <mergeCell ref="A25:J25"/>
    <mergeCell ref="A29:B29"/>
    <mergeCell ref="A34:J34"/>
    <mergeCell ref="A38:B38"/>
    <mergeCell ref="A42:J42"/>
    <mergeCell ref="A46:B46"/>
    <mergeCell ref="A50:J50"/>
    <mergeCell ref="A58:J58"/>
    <mergeCell ref="A54:B54"/>
    <mergeCell ref="A62:B62"/>
    <mergeCell ref="A70:B70"/>
    <mergeCell ref="A78:B78"/>
    <mergeCell ref="A86:B86"/>
    <mergeCell ref="A94:B94"/>
    <mergeCell ref="A102:B102"/>
    <mergeCell ref="A66:J66"/>
    <mergeCell ref="A74:J74"/>
    <mergeCell ref="A82:J82"/>
    <mergeCell ref="A90:J90"/>
    <mergeCell ref="A98:J98"/>
    <mergeCell ref="A106:J106"/>
    <mergeCell ref="A115:J115"/>
    <mergeCell ref="A176:B176"/>
    <mergeCell ref="A185:B185"/>
    <mergeCell ref="A194:B194"/>
    <mergeCell ref="A204:B204"/>
    <mergeCell ref="A214:B214"/>
    <mergeCell ref="A224:B224"/>
    <mergeCell ref="A110:B110"/>
    <mergeCell ref="A119:B119"/>
    <mergeCell ref="A128:B128"/>
    <mergeCell ref="A138:B138"/>
    <mergeCell ref="A147:B147"/>
    <mergeCell ref="A157:B157"/>
    <mergeCell ref="A166:B166"/>
    <mergeCell ref="A190:J190"/>
    <mergeCell ref="A200:J200"/>
    <mergeCell ref="A210:J210"/>
    <mergeCell ref="A220:J220"/>
    <mergeCell ref="A124:J124"/>
    <mergeCell ref="A134:J134"/>
    <mergeCell ref="A143:J143"/>
    <mergeCell ref="A153:J153"/>
    <mergeCell ref="A162:J162"/>
    <mergeCell ref="A172:J172"/>
    <mergeCell ref="A181:J18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27.25"/>
    <col customWidth="1" min="4" max="4" width="17.75"/>
    <col customWidth="1" min="5" max="5" width="17.0"/>
    <col customWidth="1" min="6" max="6" width="15.13"/>
    <col customWidth="1" min="7" max="7" width="19.0"/>
    <col customWidth="1" min="8" max="8" width="19.63"/>
    <col customWidth="1" min="10" max="10" width="18.88"/>
    <col customWidth="1" min="16" max="23" width="16.13"/>
  </cols>
  <sheetData>
    <row r="1">
      <c r="A1" s="1" t="s">
        <v>0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>
      <c r="A2" s="14"/>
      <c r="B2" s="14"/>
      <c r="C2" s="14"/>
      <c r="D2" s="14"/>
      <c r="E2" s="14"/>
      <c r="F2" s="14"/>
      <c r="G2" s="14"/>
      <c r="H2" s="1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>
      <c r="A3" s="11" t="s">
        <v>4</v>
      </c>
      <c r="B3" s="11" t="s">
        <v>5</v>
      </c>
      <c r="C3" s="11" t="s">
        <v>6</v>
      </c>
      <c r="D3" s="11" t="s">
        <v>10</v>
      </c>
      <c r="E3" s="11" t="s">
        <v>11</v>
      </c>
      <c r="F3" s="11" t="s">
        <v>19</v>
      </c>
      <c r="G3" s="11" t="s">
        <v>8</v>
      </c>
      <c r="H3" s="11" t="s">
        <v>9</v>
      </c>
      <c r="I3" s="11" t="s">
        <v>14</v>
      </c>
      <c r="J3" s="11" t="s">
        <v>16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>
      <c r="A4" s="17">
        <v>1.0</v>
      </c>
      <c r="B4" s="17" t="s">
        <v>20</v>
      </c>
      <c r="C4" s="27">
        <v>45444.0</v>
      </c>
      <c r="D4" s="29">
        <v>1294.35</v>
      </c>
      <c r="E4" s="29">
        <f t="shared" ref="E4:E5" si="1">round(D4*10%,2)</f>
        <v>129.44</v>
      </c>
      <c r="F4" s="29">
        <f t="shared" ref="F4:F5" si="2">round((D4-E4)*0.0526,2)</f>
        <v>61.27</v>
      </c>
      <c r="G4" s="37">
        <v>25477.0</v>
      </c>
      <c r="H4" s="37">
        <f>(D4-E4+F4)*G4</f>
        <v>31239387.86</v>
      </c>
      <c r="I4" s="37">
        <f>round(H4*10%,0)</f>
        <v>3123939</v>
      </c>
      <c r="J4" s="37">
        <f t="shared" ref="J4:J5" si="3">H4+I4</f>
        <v>34363326.86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>
      <c r="A5" s="17">
        <v>2.0</v>
      </c>
      <c r="B5" s="17" t="s">
        <v>25</v>
      </c>
      <c r="C5" s="27">
        <f>C4</f>
        <v>45444</v>
      </c>
      <c r="D5" s="29">
        <v>29.07</v>
      </c>
      <c r="E5" s="29">
        <f t="shared" si="1"/>
        <v>2.91</v>
      </c>
      <c r="F5" s="29">
        <f t="shared" si="2"/>
        <v>1.38</v>
      </c>
      <c r="G5" s="37">
        <f>G4</f>
        <v>25477</v>
      </c>
      <c r="H5" s="37">
        <v>701636.0</v>
      </c>
      <c r="I5" s="37">
        <v>70163.0</v>
      </c>
      <c r="J5" s="37">
        <f t="shared" si="3"/>
        <v>771799</v>
      </c>
      <c r="K5" s="8"/>
      <c r="L5" s="8"/>
      <c r="M5" s="8"/>
      <c r="N5" s="8"/>
      <c r="O5" s="4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>
      <c r="A6" s="48" t="s">
        <v>22</v>
      </c>
      <c r="B6" s="32"/>
      <c r="C6" s="49"/>
      <c r="D6" s="50">
        <f t="shared" ref="D6:F6" si="4">sum(D4:D5)</f>
        <v>1323.42</v>
      </c>
      <c r="E6" s="50">
        <f t="shared" si="4"/>
        <v>132.35</v>
      </c>
      <c r="F6" s="50">
        <f t="shared" si="4"/>
        <v>62.65</v>
      </c>
      <c r="G6" s="37"/>
      <c r="H6" s="51">
        <f t="shared" ref="H6:J6" si="5">sum(H4:H5)</f>
        <v>31941023.86</v>
      </c>
      <c r="I6" s="51">
        <f t="shared" si="5"/>
        <v>3194102</v>
      </c>
      <c r="J6" s="51">
        <f t="shared" si="5"/>
        <v>35135125.86</v>
      </c>
      <c r="K6" s="8"/>
      <c r="L6" s="8"/>
      <c r="M6" s="8"/>
      <c r="N6" s="8"/>
      <c r="O6" s="47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47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>
      <c r="A10" s="1" t="s">
        <v>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>
      <c r="A11" s="14"/>
      <c r="B11" s="14"/>
      <c r="C11" s="14"/>
      <c r="D11" s="14"/>
      <c r="E11" s="14"/>
      <c r="F11" s="14"/>
      <c r="G11" s="14"/>
      <c r="H11" s="14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>
      <c r="A12" s="11" t="s">
        <v>4</v>
      </c>
      <c r="B12" s="11" t="s">
        <v>5</v>
      </c>
      <c r="C12" s="11" t="s">
        <v>6</v>
      </c>
      <c r="D12" s="11" t="s">
        <v>10</v>
      </c>
      <c r="E12" s="11" t="s">
        <v>11</v>
      </c>
      <c r="F12" s="11" t="s">
        <v>19</v>
      </c>
      <c r="G12" s="11" t="s">
        <v>8</v>
      </c>
      <c r="H12" s="11" t="s">
        <v>9</v>
      </c>
      <c r="I12" s="11" t="s">
        <v>14</v>
      </c>
      <c r="J12" s="11" t="s">
        <v>16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>
      <c r="A13" s="17">
        <v>1.0</v>
      </c>
      <c r="B13" s="17" t="s">
        <v>20</v>
      </c>
      <c r="C13" s="27">
        <v>45474.0</v>
      </c>
      <c r="D13" s="29">
        <v>1286.3</v>
      </c>
      <c r="E13" s="29">
        <f t="shared" ref="E13:E14" si="6">round(D13*10%,2)</f>
        <v>128.63</v>
      </c>
      <c r="F13" s="29">
        <f t="shared" ref="F13:F14" si="7">round((D13-E13)*0.0526,2)</f>
        <v>60.89</v>
      </c>
      <c r="G13" s="37">
        <v>25243.0</v>
      </c>
      <c r="H13" s="37">
        <f t="shared" ref="H13:H14" si="8">(D13-E13+F13)*G13</f>
        <v>30760110.08</v>
      </c>
      <c r="I13" s="37">
        <f t="shared" ref="I13:I14" si="9">round(H13*10%,0)</f>
        <v>3076011</v>
      </c>
      <c r="J13" s="37">
        <f t="shared" ref="J13:J14" si="10">H13+I13</f>
        <v>33836121.08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>
      <c r="A14" s="17">
        <v>2.0</v>
      </c>
      <c r="B14" s="17" t="s">
        <v>25</v>
      </c>
      <c r="C14" s="27">
        <f>C13</f>
        <v>45474</v>
      </c>
      <c r="D14" s="29">
        <v>29.07</v>
      </c>
      <c r="E14" s="29">
        <f t="shared" si="6"/>
        <v>2.91</v>
      </c>
      <c r="F14" s="29">
        <f t="shared" si="7"/>
        <v>1.38</v>
      </c>
      <c r="G14" s="37">
        <f>G13</f>
        <v>25243</v>
      </c>
      <c r="H14" s="37">
        <f t="shared" si="8"/>
        <v>695192.22</v>
      </c>
      <c r="I14" s="37">
        <f t="shared" si="9"/>
        <v>69519</v>
      </c>
      <c r="J14" s="37">
        <f t="shared" si="10"/>
        <v>764711.22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>
      <c r="A15" s="48" t="s">
        <v>22</v>
      </c>
      <c r="B15" s="32"/>
      <c r="C15" s="49"/>
      <c r="D15" s="50">
        <f t="shared" ref="D15:F15" si="11">sum(D13:D14)</f>
        <v>1315.37</v>
      </c>
      <c r="E15" s="50">
        <f t="shared" si="11"/>
        <v>131.54</v>
      </c>
      <c r="F15" s="50">
        <f t="shared" si="11"/>
        <v>62.27</v>
      </c>
      <c r="G15" s="37"/>
      <c r="H15" s="51">
        <f t="shared" ref="H15:J15" si="12">sum(H13:H14)</f>
        <v>31455302.3</v>
      </c>
      <c r="I15" s="51">
        <f t="shared" si="12"/>
        <v>3145530</v>
      </c>
      <c r="J15" s="51">
        <f t="shared" si="12"/>
        <v>34600832.3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>
      <c r="A19" s="1" t="s">
        <v>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>
      <c r="A20" s="14"/>
      <c r="B20" s="14"/>
      <c r="C20" s="14"/>
      <c r="D20" s="14"/>
      <c r="E20" s="14"/>
      <c r="F20" s="14"/>
      <c r="G20" s="14"/>
      <c r="H20" s="1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>
      <c r="A21" s="11" t="s">
        <v>4</v>
      </c>
      <c r="B21" s="11" t="s">
        <v>5</v>
      </c>
      <c r="C21" s="11" t="s">
        <v>6</v>
      </c>
      <c r="D21" s="11" t="s">
        <v>10</v>
      </c>
      <c r="E21" s="11" t="s">
        <v>11</v>
      </c>
      <c r="F21" s="11" t="s">
        <v>19</v>
      </c>
      <c r="G21" s="11" t="s">
        <v>8</v>
      </c>
      <c r="H21" s="11" t="s">
        <v>9</v>
      </c>
      <c r="I21" s="11" t="s">
        <v>14</v>
      </c>
      <c r="J21" s="11" t="s">
        <v>16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>
      <c r="A22" s="17">
        <v>1.0</v>
      </c>
      <c r="B22" s="17" t="s">
        <v>20</v>
      </c>
      <c r="C22" s="27">
        <v>45505.0</v>
      </c>
      <c r="D22" s="29">
        <v>1263.48</v>
      </c>
      <c r="E22" s="29">
        <f t="shared" ref="E22:E23" si="13">round(D22*10%,2)</f>
        <v>126.35</v>
      </c>
      <c r="F22" s="29">
        <f t="shared" ref="F22:F23" si="14">round((D22-E22)*0.0526,2)</f>
        <v>59.81</v>
      </c>
      <c r="G22" s="37">
        <v>24855.0</v>
      </c>
      <c r="H22" s="37">
        <f t="shared" ref="H22:H23" si="15">(D22-E22+F22)*G22</f>
        <v>29749943.7</v>
      </c>
      <c r="I22" s="37">
        <f t="shared" ref="I22:I23" si="16">round(H22*10%,0)</f>
        <v>2974994</v>
      </c>
      <c r="J22" s="37">
        <f t="shared" ref="J22:J23" si="17">H22+I22</f>
        <v>32724937.7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>
      <c r="A23" s="17">
        <v>2.0</v>
      </c>
      <c r="B23" s="17" t="s">
        <v>25</v>
      </c>
      <c r="C23" s="27">
        <f>C22</f>
        <v>45505</v>
      </c>
      <c r="D23" s="29">
        <v>29.07</v>
      </c>
      <c r="E23" s="29">
        <f t="shared" si="13"/>
        <v>2.91</v>
      </c>
      <c r="F23" s="29">
        <f t="shared" si="14"/>
        <v>1.38</v>
      </c>
      <c r="G23" s="37">
        <f>G22</f>
        <v>24855</v>
      </c>
      <c r="H23" s="37">
        <f t="shared" si="15"/>
        <v>684506.7</v>
      </c>
      <c r="I23" s="37">
        <f t="shared" si="16"/>
        <v>68451</v>
      </c>
      <c r="J23" s="37">
        <f t="shared" si="17"/>
        <v>752957.7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>
      <c r="A24" s="48" t="s">
        <v>22</v>
      </c>
      <c r="B24" s="32"/>
      <c r="C24" s="49"/>
      <c r="D24" s="50">
        <f t="shared" ref="D24:F24" si="18">sum(D22:D23)</f>
        <v>1292.55</v>
      </c>
      <c r="E24" s="50">
        <f t="shared" si="18"/>
        <v>129.26</v>
      </c>
      <c r="F24" s="50">
        <f t="shared" si="18"/>
        <v>61.19</v>
      </c>
      <c r="G24" s="37"/>
      <c r="H24" s="51">
        <f t="shared" ref="H24:J24" si="19">sum(H22:H23)</f>
        <v>30434450.4</v>
      </c>
      <c r="I24" s="51">
        <f t="shared" si="19"/>
        <v>3043445</v>
      </c>
      <c r="J24" s="51">
        <f t="shared" si="19"/>
        <v>33477895.4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>
      <c r="A28" s="1" t="s">
        <v>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>
      <c r="A29" s="14"/>
      <c r="B29" s="14"/>
      <c r="C29" s="14"/>
      <c r="D29" s="14"/>
      <c r="E29" s="14"/>
      <c r="F29" s="14"/>
      <c r="G29" s="14"/>
      <c r="H29" s="14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>
      <c r="A30" s="11" t="s">
        <v>4</v>
      </c>
      <c r="B30" s="11" t="s">
        <v>5</v>
      </c>
      <c r="C30" s="11" t="s">
        <v>6</v>
      </c>
      <c r="D30" s="11" t="s">
        <v>10</v>
      </c>
      <c r="E30" s="11" t="s">
        <v>11</v>
      </c>
      <c r="F30" s="11" t="s">
        <v>19</v>
      </c>
      <c r="G30" s="11" t="s">
        <v>8</v>
      </c>
      <c r="H30" s="11" t="s">
        <v>9</v>
      </c>
      <c r="I30" s="11" t="s">
        <v>14</v>
      </c>
      <c r="J30" s="11" t="s">
        <v>16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>
      <c r="A31" s="17">
        <v>1.0</v>
      </c>
      <c r="B31" s="17" t="s">
        <v>20</v>
      </c>
      <c r="C31" s="27">
        <v>45536.0</v>
      </c>
      <c r="D31" s="29">
        <v>1254.98</v>
      </c>
      <c r="E31" s="29">
        <f t="shared" ref="E31:E32" si="20">round(D31*10%,2)</f>
        <v>125.5</v>
      </c>
      <c r="F31" s="29">
        <f t="shared" ref="F31:F32" si="21">round((D31-E31)*0.0526,2)</f>
        <v>59.41</v>
      </c>
      <c r="G31" s="37">
        <v>25020.0</v>
      </c>
      <c r="H31" s="37">
        <f t="shared" ref="H31:H32" si="22">(D31-E31+F31)*G31</f>
        <v>29746027.8</v>
      </c>
      <c r="I31" s="37">
        <f t="shared" ref="I31:I32" si="23">round(H31*10%,0)</f>
        <v>2974603</v>
      </c>
      <c r="J31" s="37">
        <f t="shared" ref="J31:J32" si="24">H31+I31</f>
        <v>32720630.8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>
      <c r="A32" s="17">
        <v>2.0</v>
      </c>
      <c r="B32" s="17" t="s">
        <v>25</v>
      </c>
      <c r="C32" s="27">
        <f>C31</f>
        <v>45536</v>
      </c>
      <c r="D32" s="29">
        <v>29.07</v>
      </c>
      <c r="E32" s="29">
        <f t="shared" si="20"/>
        <v>2.91</v>
      </c>
      <c r="F32" s="29">
        <f t="shared" si="21"/>
        <v>1.38</v>
      </c>
      <c r="G32" s="37">
        <f>G31</f>
        <v>25020</v>
      </c>
      <c r="H32" s="37">
        <f t="shared" si="22"/>
        <v>689050.8</v>
      </c>
      <c r="I32" s="37">
        <f t="shared" si="23"/>
        <v>68905</v>
      </c>
      <c r="J32" s="37">
        <f t="shared" si="24"/>
        <v>757955.8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>
      <c r="A33" s="48" t="s">
        <v>22</v>
      </c>
      <c r="B33" s="32"/>
      <c r="C33" s="49"/>
      <c r="D33" s="50">
        <f t="shared" ref="D33:F33" si="25">sum(D31:D32)</f>
        <v>1284.05</v>
      </c>
      <c r="E33" s="50">
        <f t="shared" si="25"/>
        <v>128.41</v>
      </c>
      <c r="F33" s="50">
        <f t="shared" si="25"/>
        <v>60.79</v>
      </c>
      <c r="G33" s="37"/>
      <c r="H33" s="51">
        <f t="shared" ref="H33:J33" si="26">sum(H31:H32)</f>
        <v>30435078.6</v>
      </c>
      <c r="I33" s="51">
        <f t="shared" si="26"/>
        <v>3043508</v>
      </c>
      <c r="J33" s="51">
        <f t="shared" si="26"/>
        <v>33478586.6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>
      <c r="A38" s="1" t="s">
        <v>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>
      <c r="A39" s="14"/>
      <c r="B39" s="14"/>
      <c r="C39" s="14"/>
      <c r="D39" s="14"/>
      <c r="E39" s="14"/>
      <c r="F39" s="14"/>
      <c r="G39" s="14"/>
      <c r="H39" s="14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>
      <c r="A40" s="11" t="s">
        <v>4</v>
      </c>
      <c r="B40" s="11" t="s">
        <v>5</v>
      </c>
      <c r="C40" s="11" t="s">
        <v>6</v>
      </c>
      <c r="D40" s="11" t="s">
        <v>10</v>
      </c>
      <c r="E40" s="11" t="s">
        <v>11</v>
      </c>
      <c r="F40" s="11" t="s">
        <v>19</v>
      </c>
      <c r="G40" s="11" t="s">
        <v>8</v>
      </c>
      <c r="H40" s="11" t="s">
        <v>9</v>
      </c>
      <c r="I40" s="11" t="s">
        <v>14</v>
      </c>
      <c r="J40" s="11" t="s">
        <v>16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>
      <c r="A41" s="17">
        <v>1.0</v>
      </c>
      <c r="B41" s="17" t="s">
        <v>20</v>
      </c>
      <c r="C41" s="27">
        <v>45566.0</v>
      </c>
      <c r="D41" s="29">
        <v>1244.98</v>
      </c>
      <c r="E41" s="29">
        <f t="shared" ref="E41:E42" si="27">round(D41*10%,2)</f>
        <v>124.5</v>
      </c>
      <c r="F41" s="29">
        <f t="shared" ref="F41:F42" si="28">round((D41-E41)*0.0526,2)</f>
        <v>58.94</v>
      </c>
      <c r="G41" s="37">
        <v>25470.0</v>
      </c>
      <c r="H41" s="37">
        <f t="shared" ref="H41:H42" si="29">(D41-E41+F41)*G41</f>
        <v>30039827.4</v>
      </c>
      <c r="I41" s="37">
        <f t="shared" ref="I41:I42" si="30">round(H41*10%,0)</f>
        <v>3003983</v>
      </c>
      <c r="J41" s="37">
        <f t="shared" ref="J41:J42" si="31">H41+I41</f>
        <v>33043810.4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>
      <c r="A42" s="17">
        <v>2.0</v>
      </c>
      <c r="B42" s="17" t="s">
        <v>25</v>
      </c>
      <c r="C42" s="27">
        <f>C41</f>
        <v>45566</v>
      </c>
      <c r="D42" s="29">
        <v>29.07</v>
      </c>
      <c r="E42" s="29">
        <f t="shared" si="27"/>
        <v>2.91</v>
      </c>
      <c r="F42" s="29">
        <f t="shared" si="28"/>
        <v>1.38</v>
      </c>
      <c r="G42" s="37">
        <v>25470.0</v>
      </c>
      <c r="H42" s="37">
        <f t="shared" si="29"/>
        <v>701443.8</v>
      </c>
      <c r="I42" s="37">
        <f t="shared" si="30"/>
        <v>70144</v>
      </c>
      <c r="J42" s="37">
        <f t="shared" si="31"/>
        <v>771587.8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>
      <c r="A43" s="48" t="s">
        <v>22</v>
      </c>
      <c r="B43" s="32"/>
      <c r="C43" s="49"/>
      <c r="D43" s="50">
        <f t="shared" ref="D43:F43" si="32">sum(D41:D42)</f>
        <v>1274.05</v>
      </c>
      <c r="E43" s="50">
        <f t="shared" si="32"/>
        <v>127.41</v>
      </c>
      <c r="F43" s="50">
        <f t="shared" si="32"/>
        <v>60.32</v>
      </c>
      <c r="G43" s="37"/>
      <c r="H43" s="51">
        <f t="shared" ref="H43:J43" si="33">sum(H41:H42)</f>
        <v>30741271.2</v>
      </c>
      <c r="I43" s="51">
        <f t="shared" si="33"/>
        <v>3074127</v>
      </c>
      <c r="J43" s="51">
        <f t="shared" si="33"/>
        <v>33815398.2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</row>
    <row r="47">
      <c r="A47" s="1" t="s">
        <v>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</row>
    <row r="48">
      <c r="A48" s="14"/>
      <c r="B48" s="14"/>
      <c r="C48" s="14"/>
      <c r="D48" s="14"/>
      <c r="E48" s="14"/>
      <c r="F48" s="14"/>
      <c r="G48" s="14"/>
      <c r="H48" s="14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</row>
    <row r="49">
      <c r="A49" s="11" t="s">
        <v>4</v>
      </c>
      <c r="B49" s="11" t="s">
        <v>5</v>
      </c>
      <c r="C49" s="11" t="s">
        <v>6</v>
      </c>
      <c r="D49" s="11" t="s">
        <v>10</v>
      </c>
      <c r="E49" s="11" t="s">
        <v>11</v>
      </c>
      <c r="F49" s="11" t="s">
        <v>19</v>
      </c>
      <c r="G49" s="11" t="s">
        <v>8</v>
      </c>
      <c r="H49" s="11" t="s">
        <v>9</v>
      </c>
      <c r="I49" s="11" t="s">
        <v>14</v>
      </c>
      <c r="J49" s="11" t="s">
        <v>16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</row>
    <row r="50">
      <c r="A50" s="17">
        <v>1.0</v>
      </c>
      <c r="B50" s="17" t="s">
        <v>20</v>
      </c>
      <c r="C50" s="27">
        <v>45597.0</v>
      </c>
      <c r="D50" s="29">
        <v>1250.12</v>
      </c>
      <c r="E50" s="29">
        <f t="shared" ref="E50:E51" si="34">round(D50*10%,2)</f>
        <v>125.01</v>
      </c>
      <c r="F50" s="29">
        <f t="shared" ref="F50:F51" si="35">round((D50-E50)*0.0526,2)</f>
        <v>59.18</v>
      </c>
      <c r="G50" s="37">
        <v>25479.0</v>
      </c>
      <c r="H50" s="37">
        <f t="shared" ref="H50:H51" si="36">(D50-E50+F50)*G50</f>
        <v>30174524.91</v>
      </c>
      <c r="I50" s="37">
        <f>round(H50*10%,1)</f>
        <v>3017452.5</v>
      </c>
      <c r="J50" s="37">
        <v>3.3191978E7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</row>
    <row r="51">
      <c r="A51" s="17">
        <v>2.0</v>
      </c>
      <c r="B51" s="17" t="s">
        <v>25</v>
      </c>
      <c r="C51" s="27">
        <f>C50</f>
        <v>45597</v>
      </c>
      <c r="D51" s="29">
        <v>29.07</v>
      </c>
      <c r="E51" s="29">
        <f t="shared" si="34"/>
        <v>2.91</v>
      </c>
      <c r="F51" s="29">
        <f t="shared" si="35"/>
        <v>1.38</v>
      </c>
      <c r="G51" s="37">
        <v>25479.0</v>
      </c>
      <c r="H51" s="37">
        <f t="shared" si="36"/>
        <v>701691.66</v>
      </c>
      <c r="I51" s="37">
        <f>round(H51*10%,0)</f>
        <v>70169</v>
      </c>
      <c r="J51" s="37">
        <f>H51+I51</f>
        <v>771860.66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</row>
    <row r="52">
      <c r="A52" s="48" t="s">
        <v>22</v>
      </c>
      <c r="B52" s="32"/>
      <c r="C52" s="49"/>
      <c r="D52" s="50">
        <f t="shared" ref="D52:F52" si="37">sum(D50:D51)</f>
        <v>1279.19</v>
      </c>
      <c r="E52" s="50">
        <f t="shared" si="37"/>
        <v>127.92</v>
      </c>
      <c r="F52" s="50">
        <f t="shared" si="37"/>
        <v>60.56</v>
      </c>
      <c r="G52" s="37"/>
      <c r="H52" s="51">
        <f t="shared" ref="H52:J52" si="38">sum(H50:H51)</f>
        <v>30876216.57</v>
      </c>
      <c r="I52" s="51">
        <f t="shared" si="38"/>
        <v>3087621.5</v>
      </c>
      <c r="J52" s="51">
        <f t="shared" si="38"/>
        <v>33963838.66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</row>
    <row r="56">
      <c r="A56" s="1" t="s">
        <v>33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</row>
    <row r="57">
      <c r="A57" s="14"/>
      <c r="B57" s="14"/>
      <c r="C57" s="14"/>
      <c r="D57" s="14"/>
      <c r="E57" s="14"/>
      <c r="F57" s="14"/>
      <c r="G57" s="14"/>
      <c r="H57" s="14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</row>
    <row r="58">
      <c r="A58" s="11" t="s">
        <v>4</v>
      </c>
      <c r="B58" s="11" t="s">
        <v>5</v>
      </c>
      <c r="C58" s="11" t="s">
        <v>6</v>
      </c>
      <c r="D58" s="11" t="s">
        <v>10</v>
      </c>
      <c r="E58" s="11" t="s">
        <v>11</v>
      </c>
      <c r="F58" s="11" t="s">
        <v>19</v>
      </c>
      <c r="G58" s="11" t="s">
        <v>8</v>
      </c>
      <c r="H58" s="11" t="s">
        <v>9</v>
      </c>
      <c r="I58" s="11" t="s">
        <v>14</v>
      </c>
      <c r="J58" s="11" t="s">
        <v>16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</row>
    <row r="59">
      <c r="A59" s="17">
        <v>1.0</v>
      </c>
      <c r="B59" s="17" t="s">
        <v>20</v>
      </c>
      <c r="C59" s="27">
        <v>45627.0</v>
      </c>
      <c r="D59" s="29">
        <v>1250.12</v>
      </c>
      <c r="E59" s="29">
        <f t="shared" ref="E59:E60" si="39">round(D59*10%,2)</f>
        <v>125.01</v>
      </c>
      <c r="F59" s="29">
        <f t="shared" ref="F59:F60" si="40">round((D59-E59)*0.0526,2)</f>
        <v>59.18</v>
      </c>
      <c r="G59" s="37">
        <v>25558.0</v>
      </c>
      <c r="H59" s="37">
        <f t="shared" ref="H59:H60" si="41">(D59-E59+F59)*G59</f>
        <v>30268083.82</v>
      </c>
      <c r="I59" s="37">
        <f t="shared" ref="I59:I60" si="42">round(H59*10%,0)</f>
        <v>3026808</v>
      </c>
      <c r="J59" s="37">
        <f t="shared" ref="J59:J60" si="43">H59+I59</f>
        <v>33294891.82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</row>
    <row r="60">
      <c r="A60" s="17">
        <v>2.0</v>
      </c>
      <c r="B60" s="17" t="s">
        <v>25</v>
      </c>
      <c r="C60" s="27">
        <f>C59</f>
        <v>45627</v>
      </c>
      <c r="D60" s="29">
        <v>29.07</v>
      </c>
      <c r="E60" s="29">
        <f t="shared" si="39"/>
        <v>2.91</v>
      </c>
      <c r="F60" s="29">
        <f t="shared" si="40"/>
        <v>1.38</v>
      </c>
      <c r="G60" s="37">
        <f>G59</f>
        <v>25558</v>
      </c>
      <c r="H60" s="37">
        <f t="shared" si="41"/>
        <v>703867.32</v>
      </c>
      <c r="I60" s="37">
        <f t="shared" si="42"/>
        <v>70387</v>
      </c>
      <c r="J60" s="37">
        <f t="shared" si="43"/>
        <v>774254.32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</row>
    <row r="61">
      <c r="A61" s="48" t="s">
        <v>22</v>
      </c>
      <c r="B61" s="32"/>
      <c r="C61" s="49"/>
      <c r="D61" s="50">
        <f t="shared" ref="D61:F61" si="44">sum(D59:D60)</f>
        <v>1279.19</v>
      </c>
      <c r="E61" s="50">
        <f t="shared" si="44"/>
        <v>127.92</v>
      </c>
      <c r="F61" s="50">
        <f t="shared" si="44"/>
        <v>60.56</v>
      </c>
      <c r="G61" s="37"/>
      <c r="H61" s="51">
        <f t="shared" ref="H61:J61" si="45">sum(H59:H60)</f>
        <v>30971951.14</v>
      </c>
      <c r="I61" s="51">
        <f t="shared" si="45"/>
        <v>3097195</v>
      </c>
      <c r="J61" s="51">
        <f t="shared" si="45"/>
        <v>34069146.14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</row>
    <row r="65">
      <c r="A65" s="1" t="s">
        <v>33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</row>
    <row r="66">
      <c r="A66" s="14"/>
      <c r="B66" s="14"/>
      <c r="C66" s="14"/>
      <c r="D66" s="14"/>
      <c r="E66" s="14"/>
      <c r="F66" s="14"/>
      <c r="G66" s="14"/>
      <c r="H66" s="14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</row>
    <row r="67">
      <c r="A67" s="11" t="s">
        <v>4</v>
      </c>
      <c r="B67" s="11" t="s">
        <v>5</v>
      </c>
      <c r="C67" s="11" t="s">
        <v>6</v>
      </c>
      <c r="D67" s="11" t="s">
        <v>10</v>
      </c>
      <c r="E67" s="11" t="s">
        <v>11</v>
      </c>
      <c r="F67" s="11" t="s">
        <v>19</v>
      </c>
      <c r="G67" s="11" t="s">
        <v>8</v>
      </c>
      <c r="H67" s="11" t="s">
        <v>9</v>
      </c>
      <c r="I67" s="11" t="s">
        <v>14</v>
      </c>
      <c r="J67" s="11" t="s">
        <v>16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</row>
    <row r="68">
      <c r="A68" s="17">
        <v>1.0</v>
      </c>
      <c r="B68" s="17" t="s">
        <v>20</v>
      </c>
      <c r="C68" s="27">
        <v>45658.0</v>
      </c>
      <c r="D68" s="29">
        <v>1274.12</v>
      </c>
      <c r="E68" s="29">
        <f t="shared" ref="E68:E69" si="46">round(D68*10%,2)</f>
        <v>127.41</v>
      </c>
      <c r="F68" s="29">
        <f t="shared" ref="F68:F69" si="47">round((D68-E68)*0.0526,2)</f>
        <v>60.32</v>
      </c>
      <c r="G68" s="37">
        <v>25560.0</v>
      </c>
      <c r="H68" s="37">
        <f t="shared" ref="H68:H69" si="48">round((D68-E68+F68)*G68,0)</f>
        <v>30851687</v>
      </c>
      <c r="I68" s="37">
        <f t="shared" ref="I68:I69" si="49">round(H68*10%,0)</f>
        <v>3085169</v>
      </c>
      <c r="J68" s="37">
        <f t="shared" ref="J68:J69" si="50">H68+I68</f>
        <v>33936856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</row>
    <row r="69">
      <c r="A69" s="17">
        <v>2.0</v>
      </c>
      <c r="B69" s="17" t="s">
        <v>25</v>
      </c>
      <c r="C69" s="27">
        <f>C68</f>
        <v>45658</v>
      </c>
      <c r="D69" s="29">
        <v>29.07</v>
      </c>
      <c r="E69" s="29">
        <f t="shared" si="46"/>
        <v>2.91</v>
      </c>
      <c r="F69" s="29">
        <f t="shared" si="47"/>
        <v>1.38</v>
      </c>
      <c r="G69" s="37">
        <f>G68</f>
        <v>25560</v>
      </c>
      <c r="H69" s="37">
        <f t="shared" si="48"/>
        <v>703922</v>
      </c>
      <c r="I69" s="37">
        <f t="shared" si="49"/>
        <v>70392</v>
      </c>
      <c r="J69" s="37">
        <f t="shared" si="50"/>
        <v>774314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</row>
    <row r="70">
      <c r="A70" s="48" t="s">
        <v>22</v>
      </c>
      <c r="B70" s="32"/>
      <c r="C70" s="49"/>
      <c r="D70" s="50">
        <f t="shared" ref="D70:F70" si="51">sum(D68:D69)</f>
        <v>1303.19</v>
      </c>
      <c r="E70" s="50">
        <f t="shared" si="51"/>
        <v>130.32</v>
      </c>
      <c r="F70" s="50">
        <f t="shared" si="51"/>
        <v>61.7</v>
      </c>
      <c r="G70" s="37"/>
      <c r="H70" s="51">
        <f t="shared" ref="H70:J70" si="52">sum(H68:H69)</f>
        <v>31555609</v>
      </c>
      <c r="I70" s="51">
        <f t="shared" si="52"/>
        <v>3155561</v>
      </c>
      <c r="J70" s="51">
        <f t="shared" si="52"/>
        <v>34711170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</row>
    <row r="74">
      <c r="A74" s="1" t="s">
        <v>33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</row>
    <row r="75">
      <c r="A75" s="14"/>
      <c r="B75" s="14"/>
      <c r="C75" s="14"/>
      <c r="D75" s="14"/>
      <c r="E75" s="14"/>
      <c r="F75" s="14"/>
      <c r="G75" s="14"/>
      <c r="H75" s="1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</row>
    <row r="76">
      <c r="A76" s="11" t="s">
        <v>4</v>
      </c>
      <c r="B76" s="11" t="s">
        <v>5</v>
      </c>
      <c r="C76" s="11" t="s">
        <v>6</v>
      </c>
      <c r="D76" s="11" t="s">
        <v>10</v>
      </c>
      <c r="E76" s="11" t="s">
        <v>11</v>
      </c>
      <c r="F76" s="11" t="s">
        <v>19</v>
      </c>
      <c r="G76" s="11" t="s">
        <v>8</v>
      </c>
      <c r="H76" s="11" t="s">
        <v>9</v>
      </c>
      <c r="I76" s="11" t="s">
        <v>14</v>
      </c>
      <c r="J76" s="11" t="s">
        <v>16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</row>
    <row r="77">
      <c r="A77" s="17">
        <v>1.0</v>
      </c>
      <c r="B77" s="17" t="s">
        <v>20</v>
      </c>
      <c r="C77" s="27">
        <v>45689.0</v>
      </c>
      <c r="D77" s="29">
        <v>1274.12</v>
      </c>
      <c r="E77" s="29">
        <f t="shared" ref="E77:E78" si="53">round(D77*10%,2)</f>
        <v>127.41</v>
      </c>
      <c r="F77" s="29">
        <f t="shared" ref="F77:F78" si="54">round((D77-E77)*0.0526,2)</f>
        <v>60.32</v>
      </c>
      <c r="G77" s="37">
        <v>25690.0</v>
      </c>
      <c r="H77" s="37">
        <f t="shared" ref="H77:H78" si="55">round((D77-E77+F77)*G77,0)</f>
        <v>31008601</v>
      </c>
      <c r="I77" s="37">
        <f t="shared" ref="I77:I78" si="56">round(H77*10%,0)</f>
        <v>3100860</v>
      </c>
      <c r="J77" s="37">
        <f t="shared" ref="J77:J78" si="57">H77+I77</f>
        <v>34109461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</row>
    <row r="78">
      <c r="A78" s="17">
        <v>2.0</v>
      </c>
      <c r="B78" s="17" t="s">
        <v>25</v>
      </c>
      <c r="C78" s="27">
        <f>C77</f>
        <v>45689</v>
      </c>
      <c r="D78" s="29">
        <v>29.07</v>
      </c>
      <c r="E78" s="29">
        <f t="shared" si="53"/>
        <v>2.91</v>
      </c>
      <c r="F78" s="29">
        <f t="shared" si="54"/>
        <v>1.38</v>
      </c>
      <c r="G78" s="37">
        <f>G77</f>
        <v>25690</v>
      </c>
      <c r="H78" s="37">
        <f t="shared" si="55"/>
        <v>707503</v>
      </c>
      <c r="I78" s="37">
        <f t="shared" si="56"/>
        <v>70750</v>
      </c>
      <c r="J78" s="37">
        <f t="shared" si="57"/>
        <v>778253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</row>
    <row r="79">
      <c r="A79" s="48" t="s">
        <v>22</v>
      </c>
      <c r="B79" s="32"/>
      <c r="C79" s="49"/>
      <c r="D79" s="50">
        <f t="shared" ref="D79:F79" si="58">sum(D77:D78)</f>
        <v>1303.19</v>
      </c>
      <c r="E79" s="50">
        <f t="shared" si="58"/>
        <v>130.32</v>
      </c>
      <c r="F79" s="50">
        <f t="shared" si="58"/>
        <v>61.7</v>
      </c>
      <c r="G79" s="37"/>
      <c r="H79" s="51">
        <f t="shared" ref="H79:J79" si="59">sum(H77:H78)</f>
        <v>31716104</v>
      </c>
      <c r="I79" s="51">
        <f t="shared" si="59"/>
        <v>3171610</v>
      </c>
      <c r="J79" s="51">
        <f t="shared" si="59"/>
        <v>34887714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</row>
    <row r="83">
      <c r="A83" s="1" t="s">
        <v>33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</row>
    <row r="84">
      <c r="A84" s="14"/>
      <c r="B84" s="14"/>
      <c r="C84" s="14"/>
      <c r="D84" s="14"/>
      <c r="E84" s="14"/>
      <c r="F84" s="14"/>
      <c r="G84" s="14"/>
      <c r="H84" s="1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</row>
    <row r="85">
      <c r="A85" s="11" t="s">
        <v>4</v>
      </c>
      <c r="B85" s="11" t="s">
        <v>5</v>
      </c>
      <c r="C85" s="11" t="s">
        <v>6</v>
      </c>
      <c r="D85" s="11" t="s">
        <v>10</v>
      </c>
      <c r="E85" s="11" t="s">
        <v>11</v>
      </c>
      <c r="F85" s="11" t="s">
        <v>19</v>
      </c>
      <c r="G85" s="11" t="s">
        <v>8</v>
      </c>
      <c r="H85" s="11" t="s">
        <v>9</v>
      </c>
      <c r="I85" s="11" t="s">
        <v>14</v>
      </c>
      <c r="J85" s="11" t="s">
        <v>16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</row>
    <row r="86">
      <c r="A86" s="17">
        <v>1.0</v>
      </c>
      <c r="B86" s="17" t="s">
        <v>20</v>
      </c>
      <c r="C86" s="27">
        <v>45717.0</v>
      </c>
      <c r="D86" s="29">
        <v>1274.12</v>
      </c>
      <c r="E86" s="29">
        <f t="shared" ref="E86:E87" si="60">round(D86*10%,2)</f>
        <v>127.41</v>
      </c>
      <c r="F86" s="29">
        <f t="shared" ref="F86:F87" si="61">round((D86-E86)*0.0526,2)</f>
        <v>60.32</v>
      </c>
      <c r="G86" s="37">
        <v>25990.0</v>
      </c>
      <c r="H86" s="37">
        <f t="shared" ref="H86:H87" si="62">round((D86-E86+F86)*G86,0)</f>
        <v>31370710</v>
      </c>
      <c r="I86" s="37">
        <f t="shared" ref="I86:I87" si="63">round(H86*10%,0)</f>
        <v>3137071</v>
      </c>
      <c r="J86" s="37">
        <f t="shared" ref="J86:J87" si="64">H86+I86</f>
        <v>34507781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</row>
    <row r="87">
      <c r="A87" s="17">
        <v>2.0</v>
      </c>
      <c r="B87" s="17" t="s">
        <v>25</v>
      </c>
      <c r="C87" s="27">
        <f>C86</f>
        <v>45717</v>
      </c>
      <c r="D87" s="29">
        <v>29.07</v>
      </c>
      <c r="E87" s="29">
        <f t="shared" si="60"/>
        <v>2.91</v>
      </c>
      <c r="F87" s="29">
        <f t="shared" si="61"/>
        <v>1.38</v>
      </c>
      <c r="G87" s="37">
        <f>G86</f>
        <v>25990</v>
      </c>
      <c r="H87" s="37">
        <f t="shared" si="62"/>
        <v>715765</v>
      </c>
      <c r="I87" s="37">
        <f t="shared" si="63"/>
        <v>71577</v>
      </c>
      <c r="J87" s="37">
        <f t="shared" si="64"/>
        <v>787342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</row>
    <row r="88">
      <c r="A88" s="48" t="s">
        <v>22</v>
      </c>
      <c r="B88" s="32"/>
      <c r="C88" s="49"/>
      <c r="D88" s="50">
        <f t="shared" ref="D88:F88" si="65">sum(D86:D87)</f>
        <v>1303.19</v>
      </c>
      <c r="E88" s="50">
        <f t="shared" si="65"/>
        <v>130.32</v>
      </c>
      <c r="F88" s="50">
        <f t="shared" si="65"/>
        <v>61.7</v>
      </c>
      <c r="G88" s="37"/>
      <c r="H88" s="51">
        <f t="shared" ref="H88:J88" si="66">sum(H86:H87)</f>
        <v>32086475</v>
      </c>
      <c r="I88" s="51">
        <f t="shared" si="66"/>
        <v>3208648</v>
      </c>
      <c r="J88" s="51">
        <f t="shared" si="66"/>
        <v>35295123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</row>
    <row r="92">
      <c r="A92" s="1" t="s">
        <v>33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</row>
    <row r="93">
      <c r="A93" s="14"/>
      <c r="B93" s="14"/>
      <c r="C93" s="14"/>
      <c r="D93" s="14"/>
      <c r="E93" s="14"/>
      <c r="F93" s="14"/>
      <c r="G93" s="14"/>
      <c r="H93" s="1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</row>
    <row r="94">
      <c r="A94" s="11" t="s">
        <v>4</v>
      </c>
      <c r="B94" s="11" t="s">
        <v>5</v>
      </c>
      <c r="C94" s="11" t="s">
        <v>6</v>
      </c>
      <c r="D94" s="11" t="s">
        <v>10</v>
      </c>
      <c r="E94" s="11" t="s">
        <v>11</v>
      </c>
      <c r="F94" s="11" t="s">
        <v>19</v>
      </c>
      <c r="G94" s="11" t="s">
        <v>8</v>
      </c>
      <c r="H94" s="11" t="s">
        <v>9</v>
      </c>
      <c r="I94" s="11" t="s">
        <v>14</v>
      </c>
      <c r="J94" s="11" t="s">
        <v>16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</row>
    <row r="95">
      <c r="A95" s="17">
        <v>1.0</v>
      </c>
      <c r="B95" s="17" t="s">
        <v>20</v>
      </c>
      <c r="C95" s="27">
        <v>45748.0</v>
      </c>
      <c r="D95" s="29">
        <v>1274.12</v>
      </c>
      <c r="E95" s="29">
        <f t="shared" ref="E95:E96" si="67">round(D95*10%,2)</f>
        <v>127.41</v>
      </c>
      <c r="F95" s="29">
        <f t="shared" ref="F95:F96" si="68">round((D95-E95)*0.0526,2)</f>
        <v>60.32</v>
      </c>
      <c r="G95" s="37">
        <v>26160.0</v>
      </c>
      <c r="H95" s="37">
        <f>round((D95-E95+F95)*G95,2)</f>
        <v>31575904.8</v>
      </c>
      <c r="I95" s="37">
        <f t="shared" ref="I95:I96" si="69">round(H95*10%,0)</f>
        <v>3157590</v>
      </c>
      <c r="J95" s="37">
        <f t="shared" ref="J95:J96" si="70">H95+I95</f>
        <v>34733494.8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</row>
    <row r="96">
      <c r="A96" s="17">
        <v>2.0</v>
      </c>
      <c r="B96" s="17" t="s">
        <v>25</v>
      </c>
      <c r="C96" s="27">
        <f>C95</f>
        <v>45748</v>
      </c>
      <c r="D96" s="29">
        <v>29.07</v>
      </c>
      <c r="E96" s="29">
        <f t="shared" si="67"/>
        <v>2.91</v>
      </c>
      <c r="F96" s="29">
        <f t="shared" si="68"/>
        <v>1.38</v>
      </c>
      <c r="G96" s="37">
        <f>G95</f>
        <v>26160</v>
      </c>
      <c r="H96" s="37">
        <f>round((D96-E96+F96)*G96,0)</f>
        <v>720446</v>
      </c>
      <c r="I96" s="37">
        <f t="shared" si="69"/>
        <v>72045</v>
      </c>
      <c r="J96" s="37">
        <f t="shared" si="70"/>
        <v>792491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</row>
    <row r="97">
      <c r="A97" s="48" t="s">
        <v>22</v>
      </c>
      <c r="B97" s="32"/>
      <c r="C97" s="49"/>
      <c r="D97" s="50">
        <f t="shared" ref="D97:F97" si="71">sum(D95:D96)</f>
        <v>1303.19</v>
      </c>
      <c r="E97" s="50">
        <f t="shared" si="71"/>
        <v>130.32</v>
      </c>
      <c r="F97" s="50">
        <f t="shared" si="71"/>
        <v>61.7</v>
      </c>
      <c r="G97" s="37"/>
      <c r="H97" s="51">
        <f t="shared" ref="H97:J97" si="72">sum(H95:H96)</f>
        <v>32296350.8</v>
      </c>
      <c r="I97" s="51">
        <f t="shared" si="72"/>
        <v>3229635</v>
      </c>
      <c r="J97" s="51">
        <f t="shared" si="72"/>
        <v>35525985.8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</row>
    <row r="101">
      <c r="A101" s="1" t="s">
        <v>33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</row>
    <row r="102">
      <c r="A102" s="14"/>
      <c r="B102" s="14"/>
      <c r="C102" s="14"/>
      <c r="D102" s="14"/>
      <c r="E102" s="14"/>
      <c r="F102" s="14"/>
      <c r="G102" s="14"/>
      <c r="H102" s="14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</row>
    <row r="103">
      <c r="A103" s="11" t="s">
        <v>4</v>
      </c>
      <c r="B103" s="11" t="s">
        <v>5</v>
      </c>
      <c r="C103" s="11" t="s">
        <v>6</v>
      </c>
      <c r="D103" s="11" t="s">
        <v>10</v>
      </c>
      <c r="E103" s="11" t="s">
        <v>11</v>
      </c>
      <c r="F103" s="11" t="s">
        <v>19</v>
      </c>
      <c r="G103" s="11" t="s">
        <v>8</v>
      </c>
      <c r="H103" s="11" t="s">
        <v>9</v>
      </c>
      <c r="I103" s="11" t="s">
        <v>14</v>
      </c>
      <c r="J103" s="11" t="s">
        <v>16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</row>
    <row r="104">
      <c r="A104" s="17">
        <v>1.0</v>
      </c>
      <c r="B104" s="17" t="s">
        <v>20</v>
      </c>
      <c r="C104" s="27">
        <v>45778.0</v>
      </c>
      <c r="D104" s="29">
        <v>1276.51</v>
      </c>
      <c r="E104" s="29">
        <f t="shared" ref="E104:E105" si="73">round(D104*10%,2)</f>
        <v>127.65</v>
      </c>
      <c r="F104" s="29">
        <f t="shared" ref="F104:F105" si="74">round((D104-E104)*0.0526,2)</f>
        <v>60.43</v>
      </c>
      <c r="G104" s="37">
        <v>26220.0</v>
      </c>
      <c r="H104" s="37">
        <f>round((D104-E104+F104)*G104,2)</f>
        <v>31707583.8</v>
      </c>
      <c r="I104" s="37">
        <f t="shared" ref="I104:I105" si="75">round(H104*10%,0)</f>
        <v>3170758</v>
      </c>
      <c r="J104" s="37">
        <f t="shared" ref="J104:J105" si="76">H104+I104</f>
        <v>34878341.8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</row>
    <row r="105">
      <c r="A105" s="17">
        <v>2.0</v>
      </c>
      <c r="B105" s="17" t="s">
        <v>25</v>
      </c>
      <c r="C105" s="27">
        <f>C104</f>
        <v>45778</v>
      </c>
      <c r="D105" s="29">
        <v>29.07</v>
      </c>
      <c r="E105" s="29">
        <f t="shared" si="73"/>
        <v>2.91</v>
      </c>
      <c r="F105" s="29">
        <f t="shared" si="74"/>
        <v>1.38</v>
      </c>
      <c r="G105" s="37">
        <f>G104</f>
        <v>26220</v>
      </c>
      <c r="H105" s="37">
        <f>round((D105-E105+F105)*G105,0)</f>
        <v>722099</v>
      </c>
      <c r="I105" s="37">
        <f t="shared" si="75"/>
        <v>72210</v>
      </c>
      <c r="J105" s="37">
        <f t="shared" si="76"/>
        <v>794309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</row>
    <row r="106">
      <c r="A106" s="48" t="s">
        <v>22</v>
      </c>
      <c r="B106" s="32"/>
      <c r="C106" s="49"/>
      <c r="D106" s="50">
        <f t="shared" ref="D106:F106" si="77">sum(D104:D105)</f>
        <v>1305.58</v>
      </c>
      <c r="E106" s="50">
        <f t="shared" si="77"/>
        <v>130.56</v>
      </c>
      <c r="F106" s="50">
        <f t="shared" si="77"/>
        <v>61.81</v>
      </c>
      <c r="G106" s="37"/>
      <c r="H106" s="51">
        <f t="shared" ref="H106:J106" si="78">sum(H104:H105)</f>
        <v>32429682.8</v>
      </c>
      <c r="I106" s="51">
        <f t="shared" si="78"/>
        <v>3242968</v>
      </c>
      <c r="J106" s="51">
        <f t="shared" si="78"/>
        <v>35672650.8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</row>
    <row r="110">
      <c r="A110" s="1" t="s">
        <v>33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</row>
    <row r="111">
      <c r="A111" s="14"/>
      <c r="B111" s="14"/>
      <c r="C111" s="14"/>
      <c r="D111" s="14"/>
      <c r="E111" s="14"/>
      <c r="F111" s="14"/>
      <c r="G111" s="14"/>
      <c r="H111" s="1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</row>
    <row r="112">
      <c r="A112" s="11" t="s">
        <v>4</v>
      </c>
      <c r="B112" s="11" t="s">
        <v>5</v>
      </c>
      <c r="C112" s="11" t="s">
        <v>6</v>
      </c>
      <c r="D112" s="11" t="s">
        <v>10</v>
      </c>
      <c r="E112" s="11" t="s">
        <v>11</v>
      </c>
      <c r="F112" s="11" t="s">
        <v>19</v>
      </c>
      <c r="G112" s="11" t="s">
        <v>8</v>
      </c>
      <c r="H112" s="11" t="s">
        <v>9</v>
      </c>
      <c r="I112" s="11" t="s">
        <v>14</v>
      </c>
      <c r="J112" s="11" t="s">
        <v>16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>
      <c r="A113" s="17">
        <v>1.0</v>
      </c>
      <c r="B113" s="17" t="s">
        <v>20</v>
      </c>
      <c r="C113" s="27">
        <v>45809.0</v>
      </c>
      <c r="D113" s="29">
        <v>1285.59</v>
      </c>
      <c r="E113" s="29">
        <f t="shared" ref="E113:E114" si="79">round(D113*10%,2)</f>
        <v>128.56</v>
      </c>
      <c r="F113" s="29">
        <f t="shared" ref="F113:F114" si="80">round((D113-E113)*0.0526,2)</f>
        <v>60.86</v>
      </c>
      <c r="G113" s="37">
        <v>26302.0</v>
      </c>
      <c r="H113" s="37">
        <f>round((D113-E113+F113)*G113,2)</f>
        <v>32032942.78</v>
      </c>
      <c r="I113" s="37">
        <f t="shared" ref="I113:I114" si="81">round(H113*10%,0)</f>
        <v>3203294</v>
      </c>
      <c r="J113" s="37">
        <f t="shared" ref="J113:J114" si="82">H113+I113</f>
        <v>35236236.78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</row>
    <row r="114">
      <c r="A114" s="17">
        <v>2.0</v>
      </c>
      <c r="B114" s="17" t="s">
        <v>25</v>
      </c>
      <c r="C114" s="27">
        <f>C113</f>
        <v>45809</v>
      </c>
      <c r="D114" s="29">
        <v>29.07</v>
      </c>
      <c r="E114" s="29">
        <f t="shared" si="79"/>
        <v>2.91</v>
      </c>
      <c r="F114" s="29">
        <f t="shared" si="80"/>
        <v>1.38</v>
      </c>
      <c r="G114" s="37">
        <f>G113</f>
        <v>26302</v>
      </c>
      <c r="H114" s="37">
        <f>round((D114-E114+F114)*G114,0)</f>
        <v>724357</v>
      </c>
      <c r="I114" s="37">
        <f t="shared" si="81"/>
        <v>72436</v>
      </c>
      <c r="J114" s="37">
        <f t="shared" si="82"/>
        <v>796793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>
      <c r="A115" s="48" t="s">
        <v>22</v>
      </c>
      <c r="B115" s="32"/>
      <c r="C115" s="49"/>
      <c r="D115" s="50">
        <f t="shared" ref="D115:F115" si="83">sum(D113:D114)</f>
        <v>1314.66</v>
      </c>
      <c r="E115" s="50">
        <f t="shared" si="83"/>
        <v>131.47</v>
      </c>
      <c r="F115" s="50">
        <f t="shared" si="83"/>
        <v>62.24</v>
      </c>
      <c r="G115" s="37"/>
      <c r="H115" s="51">
        <f t="shared" ref="H115:J115" si="84">sum(H113:H114)</f>
        <v>32757299.78</v>
      </c>
      <c r="I115" s="51">
        <f t="shared" si="84"/>
        <v>3275730</v>
      </c>
      <c r="J115" s="51">
        <f t="shared" si="84"/>
        <v>36033029.78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</row>
    <row r="119">
      <c r="A119" s="1" t="s">
        <v>33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</row>
    <row r="120">
      <c r="A120" s="14"/>
      <c r="B120" s="14"/>
      <c r="C120" s="14"/>
      <c r="D120" s="14"/>
      <c r="E120" s="14"/>
      <c r="F120" s="14"/>
      <c r="G120" s="14"/>
      <c r="H120" s="1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</row>
    <row r="121">
      <c r="A121" s="11" t="s">
        <v>4</v>
      </c>
      <c r="B121" s="11" t="s">
        <v>5</v>
      </c>
      <c r="C121" s="11" t="s">
        <v>6</v>
      </c>
      <c r="D121" s="11" t="s">
        <v>10</v>
      </c>
      <c r="E121" s="11" t="s">
        <v>11</v>
      </c>
      <c r="F121" s="11" t="s">
        <v>19</v>
      </c>
      <c r="G121" s="11" t="s">
        <v>8</v>
      </c>
      <c r="H121" s="11" t="s">
        <v>9</v>
      </c>
      <c r="I121" s="11" t="s">
        <v>14</v>
      </c>
      <c r="J121" s="11" t="s">
        <v>16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</row>
    <row r="122">
      <c r="A122" s="17">
        <v>1.0</v>
      </c>
      <c r="B122" s="17" t="s">
        <v>20</v>
      </c>
      <c r="C122" s="27">
        <v>45839.0</v>
      </c>
      <c r="D122" s="29">
        <v>1285.59</v>
      </c>
      <c r="E122" s="29">
        <f t="shared" ref="E122:E123" si="85">round(D122*10%,2)</f>
        <v>128.56</v>
      </c>
      <c r="F122" s="29">
        <f t="shared" ref="F122:F123" si="86">round((D122-E122)*0.1,2)</f>
        <v>115.7</v>
      </c>
      <c r="G122" s="37">
        <v>26476.0</v>
      </c>
      <c r="H122" s="37">
        <f>round((D122-E122+F122)*G122,2)</f>
        <v>33696799.48</v>
      </c>
      <c r="I122" s="37">
        <f t="shared" ref="I122:I123" si="87">round(H122*10%,0)</f>
        <v>3369680</v>
      </c>
      <c r="J122" s="37">
        <f t="shared" ref="J122:J123" si="88">H122+I122</f>
        <v>37066479.48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</row>
    <row r="123">
      <c r="A123" s="17">
        <v>2.0</v>
      </c>
      <c r="B123" s="17" t="s">
        <v>25</v>
      </c>
      <c r="C123" s="27">
        <f>C122</f>
        <v>45839</v>
      </c>
      <c r="D123" s="29">
        <v>29.07</v>
      </c>
      <c r="E123" s="29">
        <f t="shared" si="85"/>
        <v>2.91</v>
      </c>
      <c r="F123" s="29">
        <f t="shared" si="86"/>
        <v>2.62</v>
      </c>
      <c r="G123" s="37">
        <f>G122</f>
        <v>26476</v>
      </c>
      <c r="H123" s="37">
        <f>round((D123-E123+F123)*G123,0)</f>
        <v>761979</v>
      </c>
      <c r="I123" s="37">
        <f t="shared" si="87"/>
        <v>76198</v>
      </c>
      <c r="J123" s="37">
        <f t="shared" si="88"/>
        <v>838177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</row>
    <row r="124">
      <c r="A124" s="48" t="s">
        <v>22</v>
      </c>
      <c r="B124" s="32"/>
      <c r="C124" s="49"/>
      <c r="D124" s="50">
        <f t="shared" ref="D124:F124" si="89">sum(D122:D123)</f>
        <v>1314.66</v>
      </c>
      <c r="E124" s="50">
        <f t="shared" si="89"/>
        <v>131.47</v>
      </c>
      <c r="F124" s="50">
        <f t="shared" si="89"/>
        <v>118.32</v>
      </c>
      <c r="G124" s="37"/>
      <c r="H124" s="51">
        <f t="shared" ref="H124:J124" si="90">sum(H122:H123)</f>
        <v>34458778.48</v>
      </c>
      <c r="I124" s="51">
        <f t="shared" si="90"/>
        <v>3445878</v>
      </c>
      <c r="J124" s="51">
        <f t="shared" si="90"/>
        <v>37904656.48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</row>
    <row r="129">
      <c r="A129" s="1" t="s">
        <v>33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</row>
    <row r="130">
      <c r="A130" s="14"/>
      <c r="B130" s="14"/>
      <c r="C130" s="14"/>
      <c r="D130" s="14"/>
      <c r="E130" s="14"/>
      <c r="F130" s="14"/>
      <c r="G130" s="14"/>
      <c r="H130" s="1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</row>
    <row r="131">
      <c r="A131" s="11" t="s">
        <v>4</v>
      </c>
      <c r="B131" s="11" t="s">
        <v>5</v>
      </c>
      <c r="C131" s="11" t="s">
        <v>6</v>
      </c>
      <c r="D131" s="11" t="s">
        <v>10</v>
      </c>
      <c r="E131" s="11" t="s">
        <v>11</v>
      </c>
      <c r="F131" s="11" t="s">
        <v>19</v>
      </c>
      <c r="G131" s="11" t="s">
        <v>8</v>
      </c>
      <c r="H131" s="11" t="s">
        <v>9</v>
      </c>
      <c r="I131" s="11" t="s">
        <v>14</v>
      </c>
      <c r="J131" s="11" t="s">
        <v>16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</row>
    <row r="132">
      <c r="A132" s="17">
        <v>1.0</v>
      </c>
      <c r="B132" s="17" t="s">
        <v>20</v>
      </c>
      <c r="C132" s="27">
        <v>45870.0</v>
      </c>
      <c r="D132" s="29">
        <v>1285.59</v>
      </c>
      <c r="E132" s="29">
        <f t="shared" ref="E132:E133" si="91">round(D132*10%,2)</f>
        <v>128.56</v>
      </c>
      <c r="F132" s="29">
        <f t="shared" ref="F132:F133" si="92">round((D132-E132)*0.1,2)</f>
        <v>115.7</v>
      </c>
      <c r="G132" s="37">
        <v>26468.0</v>
      </c>
      <c r="H132" s="37">
        <f>round((D132-E132+F132)*G132,2)</f>
        <v>33686617.64</v>
      </c>
      <c r="I132" s="37">
        <f t="shared" ref="I132:I133" si="93">round(H132*10%,0)</f>
        <v>3368662</v>
      </c>
      <c r="J132" s="37">
        <f t="shared" ref="J132:J133" si="94">H132+I132</f>
        <v>37055279.64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</row>
    <row r="133">
      <c r="A133" s="17">
        <v>2.0</v>
      </c>
      <c r="B133" s="17" t="s">
        <v>25</v>
      </c>
      <c r="C133" s="27">
        <f>C132</f>
        <v>45870</v>
      </c>
      <c r="D133" s="29">
        <v>29.07</v>
      </c>
      <c r="E133" s="29">
        <f t="shared" si="91"/>
        <v>2.91</v>
      </c>
      <c r="F133" s="29">
        <f t="shared" si="92"/>
        <v>2.62</v>
      </c>
      <c r="G133" s="37">
        <f>G132</f>
        <v>26468</v>
      </c>
      <c r="H133" s="37">
        <f>round((D133-E133+F133)*G133,0)</f>
        <v>761749</v>
      </c>
      <c r="I133" s="37">
        <f t="shared" si="93"/>
        <v>76175</v>
      </c>
      <c r="J133" s="37">
        <f t="shared" si="94"/>
        <v>837924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</row>
    <row r="134">
      <c r="A134" s="48" t="s">
        <v>22</v>
      </c>
      <c r="B134" s="32"/>
      <c r="C134" s="49"/>
      <c r="D134" s="50">
        <f t="shared" ref="D134:F134" si="95">sum(D132:D133)</f>
        <v>1314.66</v>
      </c>
      <c r="E134" s="50">
        <f t="shared" si="95"/>
        <v>131.47</v>
      </c>
      <c r="F134" s="50">
        <f t="shared" si="95"/>
        <v>118.32</v>
      </c>
      <c r="G134" s="37"/>
      <c r="H134" s="51">
        <f t="shared" ref="H134:J134" si="96">sum(H132:H133)</f>
        <v>34448366.64</v>
      </c>
      <c r="I134" s="51">
        <f t="shared" si="96"/>
        <v>3444837</v>
      </c>
      <c r="J134" s="51">
        <f t="shared" si="96"/>
        <v>37893203.64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>
      <c r="A139" s="1" t="s">
        <v>33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</row>
    <row r="140">
      <c r="A140" s="14"/>
      <c r="B140" s="14"/>
      <c r="C140" s="14"/>
      <c r="D140" s="14"/>
      <c r="E140" s="14"/>
      <c r="F140" s="14"/>
      <c r="G140" s="14"/>
      <c r="H140" s="1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</row>
    <row r="141">
      <c r="A141" s="11" t="s">
        <v>4</v>
      </c>
      <c r="B141" s="11" t="s">
        <v>5</v>
      </c>
      <c r="C141" s="11" t="s">
        <v>6</v>
      </c>
      <c r="D141" s="11" t="s">
        <v>10</v>
      </c>
      <c r="E141" s="11" t="s">
        <v>11</v>
      </c>
      <c r="F141" s="11" t="s">
        <v>19</v>
      </c>
      <c r="G141" s="11" t="s">
        <v>8</v>
      </c>
      <c r="H141" s="11" t="s">
        <v>9</v>
      </c>
      <c r="I141" s="11" t="s">
        <v>14</v>
      </c>
      <c r="J141" s="11" t="s">
        <v>16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</row>
    <row r="142">
      <c r="A142" s="17">
        <v>1.0</v>
      </c>
      <c r="B142" s="17" t="s">
        <v>20</v>
      </c>
      <c r="C142" s="27">
        <v>45901.0</v>
      </c>
      <c r="D142" s="29">
        <v>1298.06</v>
      </c>
      <c r="E142" s="29">
        <f t="shared" ref="E142:E143" si="97">round(D142*10%,2)</f>
        <v>129.81</v>
      </c>
      <c r="F142" s="29">
        <f t="shared" ref="F142:F143" si="98">round((D142-E142)*0.1,2)</f>
        <v>116.83</v>
      </c>
      <c r="G142" s="37">
        <v>26386.0</v>
      </c>
      <c r="H142" s="37">
        <f>round((D142-E142+F142)*G142,2)</f>
        <v>33908120.88</v>
      </c>
      <c r="I142" s="37">
        <f t="shared" ref="I142:I143" si="99">round(H142*10%,0)</f>
        <v>3390812</v>
      </c>
      <c r="J142" s="37">
        <f t="shared" ref="J142:J143" si="100">H142+I142</f>
        <v>37298932.88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</row>
    <row r="143">
      <c r="A143" s="17">
        <v>2.0</v>
      </c>
      <c r="B143" s="17" t="s">
        <v>25</v>
      </c>
      <c r="C143" s="27">
        <f>C142</f>
        <v>45901</v>
      </c>
      <c r="D143" s="29">
        <v>29.07</v>
      </c>
      <c r="E143" s="29">
        <f t="shared" si="97"/>
        <v>2.91</v>
      </c>
      <c r="F143" s="29">
        <f t="shared" si="98"/>
        <v>2.62</v>
      </c>
      <c r="G143" s="37">
        <f>G142</f>
        <v>26386</v>
      </c>
      <c r="H143" s="37">
        <f>round((D143-E143+F143)*G143,0)</f>
        <v>759389</v>
      </c>
      <c r="I143" s="37">
        <f t="shared" si="99"/>
        <v>75939</v>
      </c>
      <c r="J143" s="37">
        <f t="shared" si="100"/>
        <v>835328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</row>
    <row r="144">
      <c r="A144" s="48" t="s">
        <v>22</v>
      </c>
      <c r="B144" s="32"/>
      <c r="C144" s="49"/>
      <c r="D144" s="50">
        <f t="shared" ref="D144:F144" si="101">sum(D142:D143)</f>
        <v>1327.13</v>
      </c>
      <c r="E144" s="50">
        <f t="shared" si="101"/>
        <v>132.72</v>
      </c>
      <c r="F144" s="50">
        <f t="shared" si="101"/>
        <v>119.45</v>
      </c>
      <c r="G144" s="37"/>
      <c r="H144" s="51">
        <f t="shared" ref="H144:J144" si="102">sum(H142:H143)</f>
        <v>34667509.88</v>
      </c>
      <c r="I144" s="51">
        <f t="shared" si="102"/>
        <v>3466751</v>
      </c>
      <c r="J144" s="51">
        <f t="shared" si="102"/>
        <v>38134260.88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</row>
    <row r="150">
      <c r="A150" s="1" t="s">
        <v>33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</row>
    <row r="151">
      <c r="A151" s="14"/>
      <c r="B151" s="14"/>
      <c r="C151" s="14"/>
      <c r="D151" s="14"/>
      <c r="E151" s="14"/>
      <c r="F151" s="14"/>
      <c r="G151" s="14"/>
      <c r="H151" s="1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</row>
    <row r="152">
      <c r="A152" s="11" t="s">
        <v>4</v>
      </c>
      <c r="B152" s="11" t="s">
        <v>5</v>
      </c>
      <c r="C152" s="11" t="s">
        <v>6</v>
      </c>
      <c r="D152" s="11" t="s">
        <v>10</v>
      </c>
      <c r="E152" s="11" t="s">
        <v>11</v>
      </c>
      <c r="F152" s="11" t="s">
        <v>19</v>
      </c>
      <c r="G152" s="11" t="s">
        <v>8</v>
      </c>
      <c r="H152" s="11" t="s">
        <v>9</v>
      </c>
      <c r="I152" s="11" t="s">
        <v>14</v>
      </c>
      <c r="J152" s="11" t="s">
        <v>16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</row>
    <row r="153">
      <c r="A153" s="17">
        <v>1.0</v>
      </c>
      <c r="B153" s="17" t="s">
        <v>20</v>
      </c>
      <c r="C153" s="27">
        <v>45931.0</v>
      </c>
      <c r="D153" s="29">
        <v>1314.73</v>
      </c>
      <c r="E153" s="29">
        <f t="shared" ref="E153:E154" si="103">round(D153*10%,2)</f>
        <v>131.47</v>
      </c>
      <c r="F153" s="29">
        <f t="shared" ref="F153:F154" si="104">round((D153-E153)*0.1,2)</f>
        <v>118.33</v>
      </c>
      <c r="G153" s="37">
        <v>26358.0</v>
      </c>
      <c r="H153" s="37">
        <f>round((D153-E153+F153)*G153,2)</f>
        <v>34307309.22</v>
      </c>
      <c r="I153" s="37">
        <f t="shared" ref="I153:I154" si="105">round(H153*10%,0)</f>
        <v>3430731</v>
      </c>
      <c r="J153" s="37">
        <f t="shared" ref="J153:J154" si="106">H153+I153</f>
        <v>37738040.22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</row>
    <row r="154">
      <c r="A154" s="17">
        <v>2.0</v>
      </c>
      <c r="B154" s="17" t="s">
        <v>25</v>
      </c>
      <c r="C154" s="27">
        <f>C153</f>
        <v>45931</v>
      </c>
      <c r="D154" s="29">
        <v>29.07</v>
      </c>
      <c r="E154" s="29">
        <f t="shared" si="103"/>
        <v>2.91</v>
      </c>
      <c r="F154" s="29">
        <f t="shared" si="104"/>
        <v>2.62</v>
      </c>
      <c r="G154" s="37">
        <f>G153</f>
        <v>26358</v>
      </c>
      <c r="H154" s="37">
        <f>round((D154-E154+F154)*G154,0)</f>
        <v>758583</v>
      </c>
      <c r="I154" s="37">
        <f t="shared" si="105"/>
        <v>75858</v>
      </c>
      <c r="J154" s="37">
        <f t="shared" si="106"/>
        <v>834441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</row>
    <row r="155">
      <c r="A155" s="48" t="s">
        <v>22</v>
      </c>
      <c r="B155" s="32"/>
      <c r="C155" s="49"/>
      <c r="D155" s="50">
        <f t="shared" ref="D155:F155" si="107">sum(D153:D154)</f>
        <v>1343.8</v>
      </c>
      <c r="E155" s="50">
        <f t="shared" si="107"/>
        <v>134.38</v>
      </c>
      <c r="F155" s="50">
        <f t="shared" si="107"/>
        <v>120.95</v>
      </c>
      <c r="G155" s="37"/>
      <c r="H155" s="51">
        <f t="shared" ref="H155:J155" si="108">sum(H153:H154)</f>
        <v>35065892.22</v>
      </c>
      <c r="I155" s="51">
        <f t="shared" si="108"/>
        <v>3506589</v>
      </c>
      <c r="J155" s="51">
        <f t="shared" si="108"/>
        <v>38572481.22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</row>
    <row r="160">
      <c r="A160" s="1" t="s">
        <v>33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</row>
    <row r="161">
      <c r="A161" s="14"/>
      <c r="B161" s="14"/>
      <c r="C161" s="14"/>
      <c r="D161" s="14"/>
      <c r="E161" s="14"/>
      <c r="F161" s="14"/>
      <c r="G161" s="14"/>
      <c r="H161" s="1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</row>
    <row r="162">
      <c r="A162" s="11" t="s">
        <v>4</v>
      </c>
      <c r="B162" s="11" t="s">
        <v>5</v>
      </c>
      <c r="C162" s="11" t="s">
        <v>6</v>
      </c>
      <c r="D162" s="11" t="s">
        <v>10</v>
      </c>
      <c r="E162" s="11" t="s">
        <v>11</v>
      </c>
      <c r="F162" s="11" t="s">
        <v>19</v>
      </c>
      <c r="G162" s="11" t="s">
        <v>8</v>
      </c>
      <c r="H162" s="11" t="s">
        <v>9</v>
      </c>
      <c r="I162" s="11" t="s">
        <v>14</v>
      </c>
      <c r="J162" s="11" t="s">
        <v>16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</row>
    <row r="163">
      <c r="A163" s="17">
        <v>1.0</v>
      </c>
      <c r="B163" s="17" t="s">
        <v>20</v>
      </c>
      <c r="C163" s="27">
        <v>45962.0</v>
      </c>
      <c r="D163" s="29">
        <v>1307.34</v>
      </c>
      <c r="E163" s="29">
        <f t="shared" ref="E163:E164" si="109">round(D163*10%,2)</f>
        <v>130.73</v>
      </c>
      <c r="F163" s="29">
        <f t="shared" ref="F163:F164" si="110">round((D163-E163)*0.1,2)</f>
        <v>117.66</v>
      </c>
      <c r="G163" s="37">
        <v>26409.0</v>
      </c>
      <c r="H163" s="37">
        <f>round((D163-E163+F163)*G163,2)</f>
        <v>34180376.43</v>
      </c>
      <c r="I163" s="37">
        <f t="shared" ref="I163:I164" si="111">round(H163*10%,0)</f>
        <v>3418038</v>
      </c>
      <c r="J163" s="37">
        <f t="shared" ref="J163:J164" si="112">H163+I163</f>
        <v>37598414.43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</row>
    <row r="164">
      <c r="A164" s="17">
        <v>2.0</v>
      </c>
      <c r="B164" s="17" t="s">
        <v>25</v>
      </c>
      <c r="C164" s="27">
        <f>C163</f>
        <v>45962</v>
      </c>
      <c r="D164" s="29">
        <v>29.07</v>
      </c>
      <c r="E164" s="29">
        <f t="shared" si="109"/>
        <v>2.91</v>
      </c>
      <c r="F164" s="29">
        <f t="shared" si="110"/>
        <v>2.62</v>
      </c>
      <c r="G164" s="37">
        <f>G163</f>
        <v>26409</v>
      </c>
      <c r="H164" s="37">
        <f>round((D164-E164+F164)*G164,0)</f>
        <v>760051</v>
      </c>
      <c r="I164" s="37">
        <f t="shared" si="111"/>
        <v>76005</v>
      </c>
      <c r="J164" s="37">
        <f t="shared" si="112"/>
        <v>836056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</row>
    <row r="165">
      <c r="A165" s="48" t="s">
        <v>22</v>
      </c>
      <c r="B165" s="32"/>
      <c r="C165" s="49"/>
      <c r="D165" s="50">
        <f t="shared" ref="D165:F165" si="113">sum(D163:D164)</f>
        <v>1336.41</v>
      </c>
      <c r="E165" s="50">
        <f t="shared" si="113"/>
        <v>133.64</v>
      </c>
      <c r="F165" s="50">
        <f t="shared" si="113"/>
        <v>120.28</v>
      </c>
      <c r="G165" s="37"/>
      <c r="H165" s="51">
        <f t="shared" ref="H165:J165" si="114">sum(H163:H164)</f>
        <v>34940427.43</v>
      </c>
      <c r="I165" s="51">
        <f t="shared" si="114"/>
        <v>3494043</v>
      </c>
      <c r="J165" s="51">
        <f t="shared" si="114"/>
        <v>38434470.43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</row>
    <row r="171">
      <c r="A171" s="58" t="s">
        <v>33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</row>
    <row r="173">
      <c r="A173" s="60" t="s">
        <v>4</v>
      </c>
      <c r="B173" s="60" t="s">
        <v>5</v>
      </c>
      <c r="C173" s="60" t="s">
        <v>6</v>
      </c>
      <c r="D173" s="60" t="s">
        <v>10</v>
      </c>
      <c r="E173" s="60" t="s">
        <v>11</v>
      </c>
      <c r="F173" s="60" t="s">
        <v>19</v>
      </c>
      <c r="G173" s="60" t="s">
        <v>8</v>
      </c>
      <c r="H173" s="60" t="s">
        <v>9</v>
      </c>
      <c r="I173" s="60" t="s">
        <v>14</v>
      </c>
      <c r="J173" s="60" t="s">
        <v>16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</row>
    <row r="174">
      <c r="A174" s="61">
        <v>1.0</v>
      </c>
      <c r="B174" s="61" t="s">
        <v>20</v>
      </c>
      <c r="C174" s="62">
        <v>45992.0</v>
      </c>
      <c r="D174" s="63">
        <v>1290.73</v>
      </c>
      <c r="E174" s="64">
        <f t="shared" ref="E174:E175" si="115">round(D174*10%,2)</f>
        <v>129.07</v>
      </c>
      <c r="F174" s="64">
        <f t="shared" ref="F174:F175" si="116">round((D174-E174)*0.1,2)</f>
        <v>116.17</v>
      </c>
      <c r="G174" s="65">
        <v>26378.0</v>
      </c>
      <c r="H174" s="66">
        <f>round((D174-E174+F174)*G174,2)</f>
        <v>33706599.74</v>
      </c>
      <c r="I174" s="66">
        <f t="shared" ref="I174:I175" si="117">round(H174*10%,0)</f>
        <v>3370660</v>
      </c>
      <c r="J174" s="66">
        <f t="shared" ref="J174:J175" si="118">H174+I174</f>
        <v>37077259.74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</row>
    <row r="175">
      <c r="A175" s="61">
        <v>2.0</v>
      </c>
      <c r="B175" s="61" t="s">
        <v>25</v>
      </c>
      <c r="C175" s="67">
        <f>C174</f>
        <v>45992</v>
      </c>
      <c r="D175" s="63">
        <v>29.07</v>
      </c>
      <c r="E175" s="64">
        <f t="shared" si="115"/>
        <v>2.91</v>
      </c>
      <c r="F175" s="64">
        <f t="shared" si="116"/>
        <v>2.62</v>
      </c>
      <c r="G175" s="66">
        <f>G174</f>
        <v>26378</v>
      </c>
      <c r="H175" s="66">
        <f>round((D175-E175+F175)*G175,0)</f>
        <v>759159</v>
      </c>
      <c r="I175" s="66">
        <f t="shared" si="117"/>
        <v>75916</v>
      </c>
      <c r="J175" s="66">
        <f t="shared" si="118"/>
        <v>835075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</row>
    <row r="176">
      <c r="A176" s="68" t="s">
        <v>22</v>
      </c>
      <c r="B176" s="32"/>
      <c r="C176" s="69"/>
      <c r="D176" s="70">
        <f t="shared" ref="D176:F176" si="119">sum(D174:D175)</f>
        <v>1319.8</v>
      </c>
      <c r="E176" s="70">
        <f t="shared" si="119"/>
        <v>131.98</v>
      </c>
      <c r="F176" s="70">
        <f t="shared" si="119"/>
        <v>118.79</v>
      </c>
      <c r="G176" s="71"/>
      <c r="H176" s="72">
        <f t="shared" ref="H176:J176" si="120">sum(H174:H175)</f>
        <v>34465758.74</v>
      </c>
      <c r="I176" s="72">
        <f t="shared" si="120"/>
        <v>3446576</v>
      </c>
      <c r="J176" s="72">
        <f t="shared" si="120"/>
        <v>37912334.74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</row>
    <row r="182">
      <c r="A182" s="58" t="s">
        <v>33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</row>
    <row r="184">
      <c r="A184" s="60" t="s">
        <v>4</v>
      </c>
      <c r="B184" s="60" t="s">
        <v>5</v>
      </c>
      <c r="C184" s="60" t="s">
        <v>6</v>
      </c>
      <c r="D184" s="60" t="s">
        <v>10</v>
      </c>
      <c r="E184" s="60" t="s">
        <v>11</v>
      </c>
      <c r="F184" s="60" t="s">
        <v>19</v>
      </c>
      <c r="G184" s="60" t="s">
        <v>8</v>
      </c>
      <c r="H184" s="60" t="s">
        <v>9</v>
      </c>
      <c r="I184" s="60" t="s">
        <v>14</v>
      </c>
      <c r="J184" s="60" t="s">
        <v>16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</row>
    <row r="185">
      <c r="A185" s="61">
        <v>1.0</v>
      </c>
      <c r="B185" s="61" t="s">
        <v>20</v>
      </c>
      <c r="C185" s="62">
        <v>46023.0</v>
      </c>
      <c r="D185" s="63">
        <v>1295.11</v>
      </c>
      <c r="E185" s="64">
        <f t="shared" ref="E185:E186" si="121">round(D185*10%,2)</f>
        <v>129.51</v>
      </c>
      <c r="F185" s="64">
        <f t="shared" ref="F185:F186" si="122">round((D185-E185)*0.1,2)</f>
        <v>116.56</v>
      </c>
      <c r="G185" s="65">
        <v>26150.0</v>
      </c>
      <c r="H185" s="66">
        <f>round((D185-E185+F185)*G185,2)</f>
        <v>33528484</v>
      </c>
      <c r="I185" s="66">
        <f t="shared" ref="I185:I186" si="123">round(H185*10%,0)</f>
        <v>3352848</v>
      </c>
      <c r="J185" s="66">
        <f t="shared" ref="J185:J186" si="124">H185+I185</f>
        <v>36881332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</row>
    <row r="186">
      <c r="A186" s="61">
        <v>2.0</v>
      </c>
      <c r="B186" s="61" t="s">
        <v>25</v>
      </c>
      <c r="C186" s="67">
        <f>C185</f>
        <v>46023</v>
      </c>
      <c r="D186" s="63">
        <v>29.07</v>
      </c>
      <c r="E186" s="64">
        <f t="shared" si="121"/>
        <v>2.91</v>
      </c>
      <c r="F186" s="64">
        <f t="shared" si="122"/>
        <v>2.62</v>
      </c>
      <c r="G186" s="66">
        <f>G185</f>
        <v>26150</v>
      </c>
      <c r="H186" s="66">
        <f>round((D186-E186+F186)*G186,0)</f>
        <v>752597</v>
      </c>
      <c r="I186" s="66">
        <f t="shared" si="123"/>
        <v>75260</v>
      </c>
      <c r="J186" s="66">
        <f t="shared" si="124"/>
        <v>827857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</row>
    <row r="187">
      <c r="A187" s="68" t="s">
        <v>22</v>
      </c>
      <c r="B187" s="32"/>
      <c r="C187" s="69"/>
      <c r="D187" s="70">
        <f t="shared" ref="D187:F187" si="125">sum(D185:D186)</f>
        <v>1324.18</v>
      </c>
      <c r="E187" s="70">
        <f t="shared" si="125"/>
        <v>132.42</v>
      </c>
      <c r="F187" s="70">
        <f t="shared" si="125"/>
        <v>119.18</v>
      </c>
      <c r="G187" s="71"/>
      <c r="H187" s="72">
        <f t="shared" ref="H187:J187" si="126">sum(H185:H186)</f>
        <v>34281081</v>
      </c>
      <c r="I187" s="72">
        <f t="shared" si="126"/>
        <v>3428108</v>
      </c>
      <c r="J187" s="72">
        <f t="shared" si="126"/>
        <v>37709189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</row>
    <row r="192">
      <c r="A192" s="58" t="s">
        <v>33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</row>
    <row r="194">
      <c r="A194" s="60" t="s">
        <v>4</v>
      </c>
      <c r="B194" s="60" t="s">
        <v>5</v>
      </c>
      <c r="C194" s="60" t="s">
        <v>6</v>
      </c>
      <c r="D194" s="60" t="s">
        <v>10</v>
      </c>
      <c r="E194" s="60" t="s">
        <v>11</v>
      </c>
      <c r="F194" s="60" t="s">
        <v>19</v>
      </c>
      <c r="G194" s="60" t="s">
        <v>8</v>
      </c>
      <c r="H194" s="60" t="s">
        <v>9</v>
      </c>
      <c r="I194" s="60" t="s">
        <v>14</v>
      </c>
      <c r="J194" s="60" t="s">
        <v>16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</row>
    <row r="195">
      <c r="A195" s="61">
        <v>1.0</v>
      </c>
      <c r="B195" s="61" t="s">
        <v>20</v>
      </c>
      <c r="C195" s="62">
        <v>46054.0</v>
      </c>
      <c r="D195" s="63">
        <v>1294.63</v>
      </c>
      <c r="E195" s="64">
        <f t="shared" ref="E195:E196" si="127">round(D195*10%,2)</f>
        <v>129.46</v>
      </c>
      <c r="F195" s="64">
        <f t="shared" ref="F195:F196" si="128">round((D195-E195)*0.1,2)</f>
        <v>116.52</v>
      </c>
      <c r="G195" s="65">
        <v>26315.0</v>
      </c>
      <c r="H195" s="66">
        <f>round((D195-E195+F195)*G195,2)</f>
        <v>33727672.35</v>
      </c>
      <c r="I195" s="66">
        <f t="shared" ref="I195:I196" si="129">round(H195*10%,0)</f>
        <v>3372767</v>
      </c>
      <c r="J195" s="66">
        <f t="shared" ref="J195:J196" si="130">H195+I195</f>
        <v>37100439.35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</row>
    <row r="196">
      <c r="A196" s="61">
        <v>2.0</v>
      </c>
      <c r="B196" s="61" t="s">
        <v>25</v>
      </c>
      <c r="C196" s="67">
        <f>C195</f>
        <v>46054</v>
      </c>
      <c r="D196" s="63">
        <v>29.07</v>
      </c>
      <c r="E196" s="64">
        <f t="shared" si="127"/>
        <v>2.91</v>
      </c>
      <c r="F196" s="64">
        <f t="shared" si="128"/>
        <v>2.62</v>
      </c>
      <c r="G196" s="66">
        <f>G195</f>
        <v>26315</v>
      </c>
      <c r="H196" s="66">
        <f>round((D196-E196+F196)*G196,0)</f>
        <v>757346</v>
      </c>
      <c r="I196" s="66">
        <f t="shared" si="129"/>
        <v>75735</v>
      </c>
      <c r="J196" s="66">
        <f t="shared" si="130"/>
        <v>833081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</row>
    <row r="197">
      <c r="A197" s="68" t="s">
        <v>22</v>
      </c>
      <c r="B197" s="32"/>
      <c r="C197" s="69"/>
      <c r="D197" s="70">
        <f t="shared" ref="D197:F197" si="131">sum(D195:D196)</f>
        <v>1323.7</v>
      </c>
      <c r="E197" s="70">
        <f t="shared" si="131"/>
        <v>132.37</v>
      </c>
      <c r="F197" s="70">
        <f t="shared" si="131"/>
        <v>119.14</v>
      </c>
      <c r="G197" s="71"/>
      <c r="H197" s="72">
        <f t="shared" ref="H197:J197" si="132">sum(H195:H196)</f>
        <v>34485018.35</v>
      </c>
      <c r="I197" s="72">
        <f t="shared" si="132"/>
        <v>3448502</v>
      </c>
      <c r="J197" s="72">
        <f t="shared" si="132"/>
        <v>37933520.35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</row>
    <row r="203">
      <c r="A203" s="58" t="s">
        <v>33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</row>
    <row r="205">
      <c r="A205" s="60" t="s">
        <v>4</v>
      </c>
      <c r="B205" s="60" t="s">
        <v>5</v>
      </c>
      <c r="C205" s="60" t="s">
        <v>6</v>
      </c>
      <c r="D205" s="60" t="s">
        <v>10</v>
      </c>
      <c r="E205" s="60" t="s">
        <v>11</v>
      </c>
      <c r="F205" s="60" t="s">
        <v>19</v>
      </c>
      <c r="G205" s="60" t="s">
        <v>8</v>
      </c>
      <c r="H205" s="60" t="s">
        <v>9</v>
      </c>
      <c r="I205" s="60" t="s">
        <v>14</v>
      </c>
      <c r="J205" s="60" t="s">
        <v>16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</row>
    <row r="206">
      <c r="A206" s="61">
        <v>1.0</v>
      </c>
      <c r="B206" s="61" t="s">
        <v>20</v>
      </c>
      <c r="C206" s="62">
        <v>46082.0</v>
      </c>
      <c r="D206" s="63">
        <v>1303.24</v>
      </c>
      <c r="E206" s="64">
        <f t="shared" ref="E206:E207" si="133">round(D206*10%,2)</f>
        <v>130.32</v>
      </c>
      <c r="F206" s="64">
        <f t="shared" ref="F206:F207" si="134">round((D206-E206)*0.1,2)</f>
        <v>117.29</v>
      </c>
      <c r="G206" s="65">
        <v>26361.0</v>
      </c>
      <c r="H206" s="66">
        <f>round((D206-E206+F206)*G206,2)</f>
        <v>34011225.81</v>
      </c>
      <c r="I206" s="66">
        <f t="shared" ref="I206:I207" si="135">round(H206*10%,0)</f>
        <v>3401123</v>
      </c>
      <c r="J206" s="66">
        <f t="shared" ref="J206:J207" si="136">H206+I206</f>
        <v>37412348.81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</row>
    <row r="207">
      <c r="A207" s="61">
        <v>2.0</v>
      </c>
      <c r="B207" s="61" t="s">
        <v>25</v>
      </c>
      <c r="C207" s="67">
        <f>C206</f>
        <v>46082</v>
      </c>
      <c r="D207" s="63">
        <v>29.07</v>
      </c>
      <c r="E207" s="64">
        <f t="shared" si="133"/>
        <v>2.91</v>
      </c>
      <c r="F207" s="64">
        <f t="shared" si="134"/>
        <v>2.62</v>
      </c>
      <c r="G207" s="66">
        <f>G206</f>
        <v>26361</v>
      </c>
      <c r="H207" s="66">
        <f>round((D207-E207+F207)*G207,0)</f>
        <v>758670</v>
      </c>
      <c r="I207" s="66">
        <f t="shared" si="135"/>
        <v>75867</v>
      </c>
      <c r="J207" s="66">
        <f t="shared" si="136"/>
        <v>834537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</row>
    <row r="208">
      <c r="A208" s="68" t="s">
        <v>22</v>
      </c>
      <c r="B208" s="32"/>
      <c r="C208" s="69"/>
      <c r="D208" s="70">
        <f t="shared" ref="D208:F208" si="137">sum(D206:D207)</f>
        <v>1332.31</v>
      </c>
      <c r="E208" s="70">
        <f t="shared" si="137"/>
        <v>133.23</v>
      </c>
      <c r="F208" s="70">
        <f t="shared" si="137"/>
        <v>119.91</v>
      </c>
      <c r="G208" s="71"/>
      <c r="H208" s="72">
        <f t="shared" ref="H208:J208" si="138">sum(H206:H207)</f>
        <v>34769895.81</v>
      </c>
      <c r="I208" s="72">
        <f t="shared" si="138"/>
        <v>3476990</v>
      </c>
      <c r="J208" s="72">
        <f t="shared" si="138"/>
        <v>38246885.81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</row>
    <row r="213">
      <c r="A213" s="58" t="s">
        <v>33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</row>
    <row r="215">
      <c r="A215" s="60" t="s">
        <v>4</v>
      </c>
      <c r="B215" s="60" t="s">
        <v>5</v>
      </c>
      <c r="C215" s="60" t="s">
        <v>6</v>
      </c>
      <c r="D215" s="60" t="s">
        <v>10</v>
      </c>
      <c r="E215" s="60" t="s">
        <v>11</v>
      </c>
      <c r="F215" s="60" t="s">
        <v>19</v>
      </c>
      <c r="G215" s="60" t="s">
        <v>8</v>
      </c>
      <c r="H215" s="60" t="s">
        <v>9</v>
      </c>
      <c r="I215" s="60" t="s">
        <v>14</v>
      </c>
      <c r="J215" s="60" t="s">
        <v>16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</row>
    <row r="216">
      <c r="A216" s="61">
        <v>1.0</v>
      </c>
      <c r="B216" s="61" t="s">
        <v>20</v>
      </c>
      <c r="C216" s="62">
        <v>46113.0</v>
      </c>
      <c r="D216" s="63">
        <v>1319.78</v>
      </c>
      <c r="E216" s="64">
        <f t="shared" ref="E216:E217" si="139">round(D216*10%,2)</f>
        <v>131.98</v>
      </c>
      <c r="F216" s="64">
        <f t="shared" ref="F216:F217" si="140">round((D216-E216)*0.1,2)</f>
        <v>118.78</v>
      </c>
      <c r="G216" s="65">
        <v>26368.0</v>
      </c>
      <c r="H216" s="66">
        <f>round((D216-E216+F216)*G216,2)</f>
        <v>34451901.44</v>
      </c>
      <c r="I216" s="66">
        <f t="shared" ref="I216:I217" si="141">round(H216*10%,0)</f>
        <v>3445190</v>
      </c>
      <c r="J216" s="66">
        <f t="shared" ref="J216:J217" si="142">H216+I216</f>
        <v>37897091.44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</row>
    <row r="217">
      <c r="A217" s="61">
        <v>2.0</v>
      </c>
      <c r="B217" s="61" t="s">
        <v>25</v>
      </c>
      <c r="C217" s="67">
        <f>C216</f>
        <v>46113</v>
      </c>
      <c r="D217" s="63">
        <v>29.07</v>
      </c>
      <c r="E217" s="64">
        <f t="shared" si="139"/>
        <v>2.91</v>
      </c>
      <c r="F217" s="64">
        <f t="shared" si="140"/>
        <v>2.62</v>
      </c>
      <c r="G217" s="66">
        <f>G216</f>
        <v>26368</v>
      </c>
      <c r="H217" s="66">
        <f>round((D217-E217+F217)*G217,0)</f>
        <v>758871</v>
      </c>
      <c r="I217" s="66">
        <f t="shared" si="141"/>
        <v>75887</v>
      </c>
      <c r="J217" s="66">
        <f t="shared" si="142"/>
        <v>834758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</row>
    <row r="218">
      <c r="A218" s="68" t="s">
        <v>22</v>
      </c>
      <c r="B218" s="32"/>
      <c r="C218" s="69"/>
      <c r="D218" s="70">
        <f t="shared" ref="D218:F218" si="143">sum(D216:D217)</f>
        <v>1348.85</v>
      </c>
      <c r="E218" s="70">
        <f t="shared" si="143"/>
        <v>134.89</v>
      </c>
      <c r="F218" s="70">
        <f t="shared" si="143"/>
        <v>121.4</v>
      </c>
      <c r="G218" s="71"/>
      <c r="H218" s="72">
        <f t="shared" ref="H218:J218" si="144">sum(H216:H217)</f>
        <v>35210772.44</v>
      </c>
      <c r="I218" s="72">
        <f t="shared" si="144"/>
        <v>3521077</v>
      </c>
      <c r="J218" s="72">
        <f t="shared" si="144"/>
        <v>38731849.44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</row>
    <row r="224">
      <c r="A224" s="58" t="s">
        <v>33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</row>
    <row r="226">
      <c r="A226" s="60" t="s">
        <v>4</v>
      </c>
      <c r="B226" s="60" t="s">
        <v>5</v>
      </c>
      <c r="C226" s="60" t="s">
        <v>6</v>
      </c>
      <c r="D226" s="60" t="s">
        <v>10</v>
      </c>
      <c r="E226" s="60" t="s">
        <v>11</v>
      </c>
      <c r="F226" s="60" t="s">
        <v>19</v>
      </c>
      <c r="G226" s="60" t="s">
        <v>8</v>
      </c>
      <c r="H226" s="60" t="s">
        <v>9</v>
      </c>
      <c r="I226" s="60" t="s">
        <v>14</v>
      </c>
      <c r="J226" s="60" t="s">
        <v>16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</row>
    <row r="227">
      <c r="A227" s="61">
        <v>1.0</v>
      </c>
      <c r="B227" s="61" t="s">
        <v>20</v>
      </c>
      <c r="C227" s="62">
        <v>46143.0</v>
      </c>
      <c r="D227" s="63">
        <v>1319.78</v>
      </c>
      <c r="E227" s="64">
        <f t="shared" ref="E227:E228" si="145">round(D227*10%,2)</f>
        <v>131.98</v>
      </c>
      <c r="F227" s="64">
        <f t="shared" ref="F227:F228" si="146">round((D227-E227)*0.1,2)</f>
        <v>118.78</v>
      </c>
      <c r="G227" s="65">
        <v>26404.0</v>
      </c>
      <c r="H227" s="66">
        <f>round((D227-E227+F227)*G227,2)</f>
        <v>34498938.32</v>
      </c>
      <c r="I227" s="66">
        <f t="shared" ref="I227:I228" si="147">round(H227*10%,0)</f>
        <v>3449894</v>
      </c>
      <c r="J227" s="66">
        <f t="shared" ref="J227:J228" si="148">H227+I227</f>
        <v>37948832.32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</row>
    <row r="228">
      <c r="A228" s="61">
        <v>2.0</v>
      </c>
      <c r="B228" s="61" t="s">
        <v>25</v>
      </c>
      <c r="C228" s="67">
        <f>C227</f>
        <v>46143</v>
      </c>
      <c r="D228" s="63">
        <v>29.07</v>
      </c>
      <c r="E228" s="64">
        <f t="shared" si="145"/>
        <v>2.91</v>
      </c>
      <c r="F228" s="64">
        <f t="shared" si="146"/>
        <v>2.62</v>
      </c>
      <c r="G228" s="66">
        <f>G227</f>
        <v>26404</v>
      </c>
      <c r="H228" s="66">
        <f>round((D228-E228+F228)*G228,0)</f>
        <v>759907</v>
      </c>
      <c r="I228" s="66">
        <f t="shared" si="147"/>
        <v>75991</v>
      </c>
      <c r="J228" s="66">
        <f t="shared" si="148"/>
        <v>835898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</row>
    <row r="229">
      <c r="A229" s="68" t="s">
        <v>22</v>
      </c>
      <c r="B229" s="32"/>
      <c r="C229" s="69"/>
      <c r="D229" s="70">
        <f t="shared" ref="D229:F229" si="149">sum(D227:D228)</f>
        <v>1348.85</v>
      </c>
      <c r="E229" s="70">
        <f t="shared" si="149"/>
        <v>134.89</v>
      </c>
      <c r="F229" s="70">
        <f t="shared" si="149"/>
        <v>121.4</v>
      </c>
      <c r="G229" s="71"/>
      <c r="H229" s="72">
        <f t="shared" ref="H229:J229" si="150">sum(H227:H228)</f>
        <v>35258845.32</v>
      </c>
      <c r="I229" s="72">
        <f t="shared" si="150"/>
        <v>3525885</v>
      </c>
      <c r="J229" s="72">
        <f t="shared" si="150"/>
        <v>38784730.32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</row>
    <row r="235">
      <c r="A235" s="58" t="s">
        <v>33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</row>
    <row r="237">
      <c r="A237" s="60" t="s">
        <v>4</v>
      </c>
      <c r="B237" s="60" t="s">
        <v>5</v>
      </c>
      <c r="C237" s="60" t="s">
        <v>6</v>
      </c>
      <c r="D237" s="60" t="s">
        <v>10</v>
      </c>
      <c r="E237" s="60" t="s">
        <v>11</v>
      </c>
      <c r="F237" s="60" t="s">
        <v>19</v>
      </c>
      <c r="G237" s="60" t="s">
        <v>8</v>
      </c>
      <c r="H237" s="60" t="s">
        <v>9</v>
      </c>
      <c r="I237" s="60" t="s">
        <v>14</v>
      </c>
      <c r="J237" s="60" t="s">
        <v>16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</row>
    <row r="238">
      <c r="A238" s="61">
        <v>1.0</v>
      </c>
      <c r="B238" s="61" t="s">
        <v>20</v>
      </c>
      <c r="C238" s="62">
        <v>46174.0</v>
      </c>
      <c r="D238" s="63">
        <v>1319.78</v>
      </c>
      <c r="E238" s="64">
        <f t="shared" ref="E238:E239" si="151">round(D238*10%,2)</f>
        <v>131.98</v>
      </c>
      <c r="F238" s="64">
        <f t="shared" ref="F238:F239" si="152">round((D238-E238)*0.1,2)</f>
        <v>118.78</v>
      </c>
      <c r="G238" s="65">
        <v>26463.0</v>
      </c>
      <c r="H238" s="66">
        <f>round((D238-E238+F238)*G238,2)</f>
        <v>34576026.54</v>
      </c>
      <c r="I238" s="66">
        <f>round(H238*10%,6)</f>
        <v>3457602.654</v>
      </c>
      <c r="J238" s="66">
        <f t="shared" ref="J238:J239" si="153">H238+I238</f>
        <v>38033629.19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</row>
    <row r="239">
      <c r="A239" s="61">
        <v>2.0</v>
      </c>
      <c r="B239" s="61" t="s">
        <v>25</v>
      </c>
      <c r="C239" s="67">
        <f>C238</f>
        <v>46174</v>
      </c>
      <c r="D239" s="63">
        <v>29.07</v>
      </c>
      <c r="E239" s="64">
        <f t="shared" si="151"/>
        <v>2.91</v>
      </c>
      <c r="F239" s="64">
        <f t="shared" si="152"/>
        <v>2.62</v>
      </c>
      <c r="G239" s="66">
        <f>G238</f>
        <v>26463</v>
      </c>
      <c r="H239" s="66">
        <f>round((D239-E239+F239)*G239,0)</f>
        <v>761605</v>
      </c>
      <c r="I239" s="66">
        <f>round(H239*10%,2)</f>
        <v>76160.5</v>
      </c>
      <c r="J239" s="66">
        <f t="shared" si="153"/>
        <v>837765.5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</row>
    <row r="240">
      <c r="A240" s="68" t="s">
        <v>22</v>
      </c>
      <c r="B240" s="32"/>
      <c r="C240" s="69"/>
      <c r="D240" s="70">
        <f t="shared" ref="D240:F240" si="154">sum(D238:D239)</f>
        <v>1348.85</v>
      </c>
      <c r="E240" s="70">
        <f t="shared" si="154"/>
        <v>134.89</v>
      </c>
      <c r="F240" s="70">
        <f t="shared" si="154"/>
        <v>121.4</v>
      </c>
      <c r="G240" s="71"/>
      <c r="H240" s="72">
        <f t="shared" ref="H240:J240" si="155">sum(H238:H239)</f>
        <v>35337631.54</v>
      </c>
      <c r="I240" s="72">
        <f t="shared" si="155"/>
        <v>3533763.154</v>
      </c>
      <c r="J240" s="72">
        <f t="shared" si="155"/>
        <v>38871394.69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</row>
    <row r="246">
      <c r="A246" s="58" t="s">
        <v>33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</row>
    <row r="248">
      <c r="A248" s="60" t="s">
        <v>4</v>
      </c>
      <c r="B248" s="60" t="s">
        <v>5</v>
      </c>
      <c r="C248" s="60" t="s">
        <v>6</v>
      </c>
      <c r="D248" s="60" t="s">
        <v>10</v>
      </c>
      <c r="E248" s="60" t="s">
        <v>11</v>
      </c>
      <c r="F248" s="60" t="s">
        <v>19</v>
      </c>
      <c r="G248" s="60" t="s">
        <v>8</v>
      </c>
      <c r="H248" s="60" t="s">
        <v>9</v>
      </c>
      <c r="I248" s="60" t="s">
        <v>14</v>
      </c>
      <c r="J248" s="60" t="s">
        <v>16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</row>
    <row r="249">
      <c r="A249" s="61">
        <v>1.0</v>
      </c>
      <c r="B249" s="61" t="s">
        <v>20</v>
      </c>
      <c r="C249" s="62">
        <v>46204.0</v>
      </c>
      <c r="D249" s="63">
        <v>1319.78</v>
      </c>
      <c r="E249" s="64">
        <f t="shared" ref="E249:E250" si="156">round(D249*10%,2)</f>
        <v>131.98</v>
      </c>
      <c r="F249" s="64">
        <f t="shared" ref="F249:F250" si="157">round((D249-E249)*0.1,2)</f>
        <v>118.78</v>
      </c>
      <c r="G249" s="65">
        <v>26350.0</v>
      </c>
      <c r="H249" s="65">
        <v>3.4428385E7</v>
      </c>
      <c r="I249" s="66">
        <f t="shared" ref="I249:I250" si="158">round(H249*10%,2)</f>
        <v>3442838.5</v>
      </c>
      <c r="J249" s="66">
        <f t="shared" ref="J249:J250" si="159">H249+I249</f>
        <v>37871223.5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</row>
    <row r="250">
      <c r="A250" s="61">
        <v>2.0</v>
      </c>
      <c r="B250" s="61" t="s">
        <v>25</v>
      </c>
      <c r="C250" s="67">
        <f>C249</f>
        <v>46204</v>
      </c>
      <c r="D250" s="63">
        <v>29.07</v>
      </c>
      <c r="E250" s="64">
        <f t="shared" si="156"/>
        <v>2.91</v>
      </c>
      <c r="F250" s="64">
        <f t="shared" si="157"/>
        <v>2.62</v>
      </c>
      <c r="G250" s="66">
        <f>G249</f>
        <v>26350</v>
      </c>
      <c r="H250" s="66">
        <f>round((D250-E250+F250)*G250,2)</f>
        <v>758353</v>
      </c>
      <c r="I250" s="66">
        <f t="shared" si="158"/>
        <v>75835.3</v>
      </c>
      <c r="J250" s="66">
        <f t="shared" si="159"/>
        <v>834188.3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</row>
    <row r="251">
      <c r="A251" s="68" t="s">
        <v>22</v>
      </c>
      <c r="B251" s="32"/>
      <c r="C251" s="69"/>
      <c r="D251" s="70">
        <f t="shared" ref="D251:F251" si="160">sum(D249:D250)</f>
        <v>1348.85</v>
      </c>
      <c r="E251" s="70">
        <f t="shared" si="160"/>
        <v>134.89</v>
      </c>
      <c r="F251" s="70">
        <f t="shared" si="160"/>
        <v>121.4</v>
      </c>
      <c r="G251" s="71"/>
      <c r="H251" s="72">
        <f t="shared" ref="H251:J251" si="161">sum(H249:H250)</f>
        <v>35186738</v>
      </c>
      <c r="I251" s="72">
        <f t="shared" si="161"/>
        <v>3518673.8</v>
      </c>
      <c r="J251" s="72">
        <f t="shared" si="161"/>
        <v>38705411.8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</row>
    <row r="254">
      <c r="A254" s="8"/>
      <c r="B254" s="8"/>
      <c r="C254" s="8"/>
      <c r="D254" s="8"/>
      <c r="E254" s="8"/>
      <c r="F254" s="8"/>
      <c r="G254" s="8"/>
      <c r="H254" s="89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</row>
    <row r="1046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</row>
    <row r="1047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</row>
    <row r="1048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</row>
    <row r="1049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</row>
    <row r="1050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</row>
    <row r="105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</row>
    <row r="105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</row>
    <row r="1053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</row>
    <row r="1054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</row>
    <row r="105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</row>
    <row r="1056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</row>
    <row r="1057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</row>
    <row r="1058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</row>
    <row r="1059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</row>
    <row r="1060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</row>
    <row r="106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</row>
    <row r="1062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</row>
    <row r="1063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</row>
    <row r="1064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</row>
    <row r="106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</row>
    <row r="1066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</row>
    <row r="1067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</row>
    <row r="1068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</row>
    <row r="1069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</row>
    <row r="1070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</row>
    <row r="107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</row>
    <row r="1072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</row>
    <row r="1073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</row>
    <row r="1074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</row>
    <row r="107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</row>
    <row r="1076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</row>
    <row r="1077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</row>
    <row r="1078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</row>
    <row r="1079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</row>
    <row r="1080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</row>
    <row r="108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</row>
    <row r="1082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</row>
    <row r="1083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</row>
    <row r="1084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</row>
    <row r="108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</row>
    <row r="1086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</row>
    <row r="1087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</row>
    <row r="1088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</row>
    <row r="1089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</row>
    <row r="1090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</row>
    <row r="109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</row>
    <row r="1092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</row>
    <row r="1093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</row>
    <row r="1094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</row>
    <row r="109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</row>
    <row r="1096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</row>
    <row r="1097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</row>
    <row r="1098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</row>
    <row r="1099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</row>
    <row r="1100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</row>
    <row r="110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</row>
    <row r="1102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</row>
    <row r="1103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</row>
    <row r="1104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</row>
    <row r="110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</row>
    <row r="1106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</row>
    <row r="1107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</row>
    <row r="1108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</row>
    <row r="1109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</row>
    <row r="1110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</row>
    <row r="1111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</row>
    <row r="1112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</row>
    <row r="1113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</row>
    <row r="1114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</row>
    <row r="11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</row>
    <row r="1116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</row>
    <row r="1117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</row>
    <row r="1118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</row>
    <row r="1119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</row>
    <row r="1120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</row>
    <row r="1121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</row>
    <row r="1122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</row>
    <row r="1123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</row>
    <row r="1124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</row>
    <row r="112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</row>
    <row r="1126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</row>
    <row r="1127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</row>
    <row r="1128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</row>
    <row r="1129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</row>
    <row r="1130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</row>
    <row r="1131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</row>
    <row r="1132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</row>
    <row r="1133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</row>
    <row r="1134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</row>
    <row r="1135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</row>
    <row r="1136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</row>
    <row r="1137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</row>
    <row r="1138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</row>
    <row r="1139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</row>
    <row r="1140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</row>
    <row r="1141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</row>
    <row r="1142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</row>
    <row r="1143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</row>
    <row r="1144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</row>
    <row r="114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</row>
    <row r="1146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</row>
    <row r="1147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</row>
    <row r="1148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</row>
    <row r="1149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</row>
    <row r="1150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</row>
    <row r="1151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</row>
    <row r="1152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</row>
    <row r="1153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</row>
    <row r="1154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</row>
    <row r="1155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</row>
    <row r="1156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</row>
    <row r="1157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</row>
    <row r="1158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</row>
    <row r="1159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</row>
    <row r="1160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</row>
    <row r="1161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</row>
    <row r="1162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</row>
    <row r="1163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</row>
    <row r="1164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</row>
    <row r="116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</row>
    <row r="1166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</row>
  </sheetData>
  <mergeCells count="52">
    <mergeCell ref="A1:J1"/>
    <mergeCell ref="A6:B6"/>
    <mergeCell ref="A10:J10"/>
    <mergeCell ref="A15:B15"/>
    <mergeCell ref="A19:J19"/>
    <mergeCell ref="A24:B24"/>
    <mergeCell ref="A28:J28"/>
    <mergeCell ref="A33:B33"/>
    <mergeCell ref="A38:J38"/>
    <mergeCell ref="A43:B43"/>
    <mergeCell ref="A47:J47"/>
    <mergeCell ref="A52:B52"/>
    <mergeCell ref="A56:J56"/>
    <mergeCell ref="A65:J65"/>
    <mergeCell ref="A61:B61"/>
    <mergeCell ref="A70:B70"/>
    <mergeCell ref="A79:B79"/>
    <mergeCell ref="A88:B88"/>
    <mergeCell ref="A97:B97"/>
    <mergeCell ref="A106:B106"/>
    <mergeCell ref="A115:B115"/>
    <mergeCell ref="A74:J74"/>
    <mergeCell ref="A83:J83"/>
    <mergeCell ref="A92:J92"/>
    <mergeCell ref="A101:J101"/>
    <mergeCell ref="A110:J110"/>
    <mergeCell ref="A119:J119"/>
    <mergeCell ref="A129:J129"/>
    <mergeCell ref="A197:B197"/>
    <mergeCell ref="A208:B208"/>
    <mergeCell ref="A218:B218"/>
    <mergeCell ref="A229:B229"/>
    <mergeCell ref="A240:B240"/>
    <mergeCell ref="A251:B251"/>
    <mergeCell ref="A124:B124"/>
    <mergeCell ref="A134:B134"/>
    <mergeCell ref="A144:B144"/>
    <mergeCell ref="A155:B155"/>
    <mergeCell ref="A165:B165"/>
    <mergeCell ref="A176:B176"/>
    <mergeCell ref="A187:B187"/>
    <mergeCell ref="A213:J213"/>
    <mergeCell ref="A224:J224"/>
    <mergeCell ref="A235:J235"/>
    <mergeCell ref="A246:J246"/>
    <mergeCell ref="A139:J139"/>
    <mergeCell ref="A150:J150"/>
    <mergeCell ref="A160:J160"/>
    <mergeCell ref="A171:J171"/>
    <mergeCell ref="A182:J182"/>
    <mergeCell ref="A192:J192"/>
    <mergeCell ref="A203:J20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0"/>
    <col customWidth="1" min="2" max="2" width="58.0"/>
    <col customWidth="1" min="3" max="3" width="11.0"/>
    <col customWidth="1" min="4" max="4" width="19.88"/>
    <col customWidth="1" min="5" max="5" width="10.25"/>
    <col customWidth="1" min="6" max="6" width="20.75"/>
  </cols>
  <sheetData>
    <row r="1">
      <c r="A1" s="2" t="s">
        <v>2</v>
      </c>
    </row>
    <row r="2">
      <c r="A2" s="5"/>
      <c r="B2" s="5"/>
      <c r="C2" s="5"/>
      <c r="D2" s="5"/>
      <c r="E2" s="5"/>
      <c r="F2" s="5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15" t="s">
        <v>15</v>
      </c>
      <c r="C4" s="19">
        <v>45444.0</v>
      </c>
      <c r="D4" s="22">
        <v>655.37</v>
      </c>
      <c r="E4" s="25"/>
      <c r="F4" s="28"/>
    </row>
    <row r="5">
      <c r="A5" s="30" t="s">
        <v>21</v>
      </c>
      <c r="B5" s="31"/>
      <c r="C5" s="32"/>
      <c r="D5" s="24">
        <f>round(D4*(1+5.26%),2)</f>
        <v>689.84</v>
      </c>
      <c r="E5" s="38"/>
      <c r="F5" s="28"/>
    </row>
    <row r="6">
      <c r="A6" s="30" t="s">
        <v>24</v>
      </c>
      <c r="B6" s="31"/>
      <c r="C6" s="32"/>
      <c r="D6" s="24">
        <f>round(D5*10%,2)</f>
        <v>68.98</v>
      </c>
      <c r="E6" s="38"/>
      <c r="F6" s="28"/>
    </row>
    <row r="7">
      <c r="A7" s="33" t="s">
        <v>9</v>
      </c>
      <c r="B7" s="31"/>
      <c r="C7" s="32"/>
      <c r="D7" s="39">
        <f>D5-D6</f>
        <v>620.86</v>
      </c>
      <c r="E7" s="46">
        <v>25473.0</v>
      </c>
      <c r="F7" s="41">
        <f>D7*E7</f>
        <v>15815166.78</v>
      </c>
    </row>
    <row r="8">
      <c r="A8" s="33" t="s">
        <v>26</v>
      </c>
      <c r="B8" s="31"/>
      <c r="C8" s="32"/>
      <c r="D8" s="39"/>
      <c r="E8" s="46"/>
      <c r="F8" s="41">
        <f>round(F7*10%,0)</f>
        <v>1581517</v>
      </c>
    </row>
    <row r="9">
      <c r="A9" s="33" t="s">
        <v>16</v>
      </c>
      <c r="B9" s="31"/>
      <c r="C9" s="32"/>
      <c r="D9" s="39"/>
      <c r="E9" s="46"/>
      <c r="F9" s="41">
        <f>F7+F8</f>
        <v>17396683.78</v>
      </c>
    </row>
    <row r="13">
      <c r="A13" s="2" t="s">
        <v>2</v>
      </c>
    </row>
    <row r="14">
      <c r="A14" s="5"/>
      <c r="B14" s="5"/>
      <c r="C14" s="5"/>
      <c r="D14" s="5"/>
      <c r="E14" s="5"/>
      <c r="F14" s="5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>
      <c r="A16" s="13">
        <v>1.0</v>
      </c>
      <c r="B16" s="15" t="s">
        <v>15</v>
      </c>
      <c r="C16" s="19">
        <v>45474.0</v>
      </c>
      <c r="D16" s="22">
        <v>614.67</v>
      </c>
      <c r="E16" s="25"/>
      <c r="F16" s="28"/>
    </row>
    <row r="17">
      <c r="A17" s="30" t="s">
        <v>21</v>
      </c>
      <c r="B17" s="31"/>
      <c r="C17" s="32"/>
      <c r="D17" s="24">
        <f>round(D16*(1+5.26%),2)</f>
        <v>647</v>
      </c>
      <c r="E17" s="38"/>
      <c r="F17" s="28"/>
    </row>
    <row r="18">
      <c r="A18" s="30" t="s">
        <v>24</v>
      </c>
      <c r="B18" s="31"/>
      <c r="C18" s="32"/>
      <c r="D18" s="24">
        <f>round(D17*10%,2)</f>
        <v>64.7</v>
      </c>
      <c r="E18" s="38"/>
      <c r="F18" s="28"/>
    </row>
    <row r="19">
      <c r="A19" s="33" t="s">
        <v>9</v>
      </c>
      <c r="B19" s="31"/>
      <c r="C19" s="32"/>
      <c r="D19" s="39">
        <f>D17-D18</f>
        <v>582.3</v>
      </c>
      <c r="E19" s="46">
        <v>25405.0</v>
      </c>
      <c r="F19" s="41">
        <f>D19*E19</f>
        <v>14793331.5</v>
      </c>
    </row>
    <row r="20">
      <c r="A20" s="33" t="s">
        <v>26</v>
      </c>
      <c r="B20" s="31"/>
      <c r="C20" s="32"/>
      <c r="D20" s="39"/>
      <c r="E20" s="46"/>
      <c r="F20" s="41">
        <f>round(F19*10%,0)</f>
        <v>1479333</v>
      </c>
    </row>
    <row r="21">
      <c r="A21" s="33" t="s">
        <v>16</v>
      </c>
      <c r="B21" s="31"/>
      <c r="C21" s="32"/>
      <c r="D21" s="39"/>
      <c r="E21" s="46"/>
      <c r="F21" s="41">
        <f>F19+F20</f>
        <v>16272664.5</v>
      </c>
    </row>
    <row r="25">
      <c r="A25" s="2" t="s">
        <v>2</v>
      </c>
    </row>
    <row r="26">
      <c r="A26" s="5"/>
      <c r="B26" s="5"/>
      <c r="C26" s="5"/>
      <c r="D26" s="5"/>
      <c r="E26" s="5"/>
      <c r="F26" s="5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</row>
    <row r="28">
      <c r="A28" s="13">
        <v>1.0</v>
      </c>
      <c r="B28" s="15" t="s">
        <v>15</v>
      </c>
      <c r="C28" s="19">
        <v>45505.0</v>
      </c>
      <c r="D28" s="22">
        <v>621.94</v>
      </c>
      <c r="E28" s="25"/>
      <c r="F28" s="28"/>
    </row>
    <row r="29">
      <c r="A29" s="30" t="s">
        <v>21</v>
      </c>
      <c r="B29" s="31"/>
      <c r="C29" s="32"/>
      <c r="D29" s="24">
        <f>round(D28*(1+5.26%),2)</f>
        <v>654.65</v>
      </c>
      <c r="E29" s="38"/>
      <c r="F29" s="28"/>
    </row>
    <row r="30">
      <c r="A30" s="30" t="s">
        <v>24</v>
      </c>
      <c r="B30" s="31"/>
      <c r="C30" s="32"/>
      <c r="D30" s="24">
        <f>round(D29*10%,2)</f>
        <v>65.47</v>
      </c>
      <c r="E30" s="38"/>
      <c r="F30" s="28"/>
    </row>
    <row r="31">
      <c r="A31" s="33" t="s">
        <v>9</v>
      </c>
      <c r="B31" s="31"/>
      <c r="C31" s="32"/>
      <c r="D31" s="39">
        <f>D29-D30</f>
        <v>589.18</v>
      </c>
      <c r="E31" s="46">
        <v>25080.0</v>
      </c>
      <c r="F31" s="41">
        <f>D31*E31</f>
        <v>14776634.4</v>
      </c>
    </row>
    <row r="32">
      <c r="A32" s="33" t="s">
        <v>26</v>
      </c>
      <c r="B32" s="31"/>
      <c r="C32" s="32"/>
      <c r="D32" s="39"/>
      <c r="E32" s="46"/>
      <c r="F32" s="41">
        <f>round(F31*10%,0)</f>
        <v>1477663</v>
      </c>
    </row>
    <row r="33">
      <c r="A33" s="33" t="s">
        <v>16</v>
      </c>
      <c r="B33" s="31"/>
      <c r="C33" s="32"/>
      <c r="D33" s="39"/>
      <c r="E33" s="46"/>
      <c r="F33" s="41">
        <f>F31+F32</f>
        <v>16254297.4</v>
      </c>
    </row>
    <row r="37">
      <c r="A37" s="2" t="s">
        <v>2</v>
      </c>
    </row>
    <row r="38">
      <c r="A38" s="5"/>
      <c r="B38" s="5"/>
      <c r="C38" s="5"/>
      <c r="D38" s="5"/>
      <c r="E38" s="5"/>
      <c r="F38" s="5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</row>
    <row r="40">
      <c r="A40" s="13">
        <v>1.0</v>
      </c>
      <c r="B40" s="15" t="s">
        <v>15</v>
      </c>
      <c r="C40" s="19">
        <v>45536.0</v>
      </c>
      <c r="D40" s="22">
        <v>627.47</v>
      </c>
      <c r="E40" s="25"/>
      <c r="F40" s="28"/>
    </row>
    <row r="41">
      <c r="A41" s="30" t="s">
        <v>21</v>
      </c>
      <c r="B41" s="31"/>
      <c r="C41" s="32"/>
      <c r="D41" s="24">
        <f>round(D40*(1+5.26%),2)</f>
        <v>660.47</v>
      </c>
      <c r="E41" s="38"/>
      <c r="F41" s="28"/>
    </row>
    <row r="42">
      <c r="A42" s="30" t="s">
        <v>24</v>
      </c>
      <c r="B42" s="31"/>
      <c r="C42" s="32"/>
      <c r="D42" s="24">
        <f>round(D41*10%,2)</f>
        <v>66.05</v>
      </c>
      <c r="E42" s="38"/>
      <c r="F42" s="28"/>
    </row>
    <row r="43">
      <c r="A43" s="33" t="s">
        <v>9</v>
      </c>
      <c r="B43" s="31"/>
      <c r="C43" s="32"/>
      <c r="D43" s="39">
        <f>D41-D42</f>
        <v>594.42</v>
      </c>
      <c r="E43" s="46">
        <v>24733.0</v>
      </c>
      <c r="F43" s="41">
        <f>D43*E43</f>
        <v>14701789.86</v>
      </c>
    </row>
    <row r="44">
      <c r="A44" s="33" t="s">
        <v>26</v>
      </c>
      <c r="B44" s="31"/>
      <c r="C44" s="32"/>
      <c r="D44" s="39"/>
      <c r="E44" s="46"/>
      <c r="F44" s="41">
        <f>round(F43*10%,0)</f>
        <v>1470179</v>
      </c>
    </row>
    <row r="45">
      <c r="A45" s="33" t="s">
        <v>16</v>
      </c>
      <c r="B45" s="31"/>
      <c r="C45" s="32"/>
      <c r="D45" s="39"/>
      <c r="E45" s="46"/>
      <c r="F45" s="41">
        <f>F43+F44</f>
        <v>16171968.86</v>
      </c>
    </row>
    <row r="49">
      <c r="A49" s="2" t="s">
        <v>2</v>
      </c>
    </row>
    <row r="50">
      <c r="A50" s="5"/>
      <c r="B50" s="5"/>
      <c r="C50" s="5"/>
      <c r="D50" s="5"/>
      <c r="E50" s="5"/>
      <c r="F50" s="5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</row>
    <row r="52">
      <c r="A52" s="13">
        <v>1.0</v>
      </c>
      <c r="B52" s="15" t="s">
        <v>15</v>
      </c>
      <c r="C52" s="19">
        <v>45566.0</v>
      </c>
      <c r="D52" s="22">
        <v>657.75</v>
      </c>
      <c r="E52" s="25"/>
      <c r="F52" s="28"/>
    </row>
    <row r="53">
      <c r="A53" s="30" t="s">
        <v>21</v>
      </c>
      <c r="B53" s="31"/>
      <c r="C53" s="32"/>
      <c r="D53" s="24">
        <f>round(D52*(1+5.26%),2)</f>
        <v>692.35</v>
      </c>
      <c r="E53" s="38"/>
      <c r="F53" s="28"/>
    </row>
    <row r="54">
      <c r="A54" s="30" t="s">
        <v>24</v>
      </c>
      <c r="B54" s="31"/>
      <c r="C54" s="32"/>
      <c r="D54" s="24">
        <f>round(D53*10%,2)</f>
        <v>69.24</v>
      </c>
      <c r="E54" s="38"/>
      <c r="F54" s="28"/>
    </row>
    <row r="55">
      <c r="A55" s="33" t="s">
        <v>9</v>
      </c>
      <c r="B55" s="31"/>
      <c r="C55" s="32"/>
      <c r="D55" s="39">
        <f>D53-D54</f>
        <v>623.11</v>
      </c>
      <c r="E55" s="46">
        <v>25445.0</v>
      </c>
      <c r="F55" s="41">
        <f>D55*E55</f>
        <v>15855033.95</v>
      </c>
    </row>
    <row r="56">
      <c r="A56" s="33" t="s">
        <v>26</v>
      </c>
      <c r="B56" s="31"/>
      <c r="C56" s="32"/>
      <c r="D56" s="39"/>
      <c r="E56" s="46"/>
      <c r="F56" s="41">
        <f>round(F55*10%,0)</f>
        <v>1585503</v>
      </c>
    </row>
    <row r="57">
      <c r="A57" s="33" t="s">
        <v>16</v>
      </c>
      <c r="B57" s="31"/>
      <c r="C57" s="32"/>
      <c r="D57" s="39"/>
      <c r="E57" s="46"/>
      <c r="F57" s="41">
        <f>F55+F56</f>
        <v>17440536.95</v>
      </c>
    </row>
    <row r="61">
      <c r="A61" s="2" t="s">
        <v>2</v>
      </c>
    </row>
    <row r="62">
      <c r="A62" s="5"/>
      <c r="B62" s="5"/>
      <c r="C62" s="5"/>
      <c r="D62" s="5"/>
      <c r="E62" s="5"/>
      <c r="F62" s="5"/>
    </row>
    <row r="63">
      <c r="A63" s="9" t="s">
        <v>4</v>
      </c>
      <c r="B63" s="9" t="s">
        <v>5</v>
      </c>
      <c r="C63" s="9" t="s">
        <v>6</v>
      </c>
      <c r="D63" s="9" t="s">
        <v>7</v>
      </c>
      <c r="E63" s="9" t="s">
        <v>8</v>
      </c>
      <c r="F63" s="9" t="s">
        <v>9</v>
      </c>
    </row>
    <row r="64">
      <c r="A64" s="13">
        <v>1.0</v>
      </c>
      <c r="B64" s="15" t="s">
        <v>15</v>
      </c>
      <c r="C64" s="19">
        <v>45597.0</v>
      </c>
      <c r="D64" s="22">
        <v>824.13</v>
      </c>
      <c r="E64" s="25"/>
      <c r="F64" s="28"/>
    </row>
    <row r="65">
      <c r="A65" s="30" t="s">
        <v>21</v>
      </c>
      <c r="B65" s="31"/>
      <c r="C65" s="32"/>
      <c r="D65" s="24">
        <f>round(D64*(1+5.26%),2)</f>
        <v>867.48</v>
      </c>
      <c r="E65" s="38"/>
      <c r="F65" s="28"/>
    </row>
    <row r="66">
      <c r="A66" s="30" t="s">
        <v>24</v>
      </c>
      <c r="B66" s="31"/>
      <c r="C66" s="32"/>
      <c r="D66" s="24">
        <f>round(D65*10%,2)</f>
        <v>86.75</v>
      </c>
      <c r="E66" s="38"/>
      <c r="F66" s="28"/>
    </row>
    <row r="67">
      <c r="A67" s="33" t="s">
        <v>9</v>
      </c>
      <c r="B67" s="31"/>
      <c r="C67" s="32"/>
      <c r="D67" s="39">
        <f>D65-D66</f>
        <v>780.73</v>
      </c>
      <c r="E67" s="46">
        <v>25463.0</v>
      </c>
      <c r="F67" s="41">
        <f>D67*E67</f>
        <v>19879727.99</v>
      </c>
    </row>
    <row r="68">
      <c r="A68" s="33" t="s">
        <v>26</v>
      </c>
      <c r="B68" s="31"/>
      <c r="C68" s="32"/>
      <c r="D68" s="39"/>
      <c r="E68" s="46"/>
      <c r="F68" s="41">
        <f>round(F67*10%,0)</f>
        <v>1987973</v>
      </c>
    </row>
    <row r="69">
      <c r="A69" s="33" t="s">
        <v>16</v>
      </c>
      <c r="B69" s="31"/>
      <c r="C69" s="32"/>
      <c r="D69" s="39"/>
      <c r="E69" s="46"/>
      <c r="F69" s="41">
        <f>F67+F68</f>
        <v>21867700.99</v>
      </c>
    </row>
    <row r="73">
      <c r="A73" s="2" t="s">
        <v>30</v>
      </c>
    </row>
    <row r="74">
      <c r="A74" s="5"/>
      <c r="B74" s="5"/>
      <c r="C74" s="5"/>
      <c r="D74" s="5"/>
      <c r="E74" s="5"/>
      <c r="F74" s="5"/>
    </row>
    <row r="75">
      <c r="A75" s="9" t="s">
        <v>4</v>
      </c>
      <c r="B75" s="9" t="s">
        <v>5</v>
      </c>
      <c r="C75" s="9" t="s">
        <v>6</v>
      </c>
      <c r="D75" s="9" t="s">
        <v>7</v>
      </c>
      <c r="E75" s="9" t="s">
        <v>8</v>
      </c>
      <c r="F75" s="9" t="s">
        <v>9</v>
      </c>
    </row>
    <row r="76">
      <c r="A76" s="13">
        <v>1.0</v>
      </c>
      <c r="B76" s="15" t="s">
        <v>15</v>
      </c>
      <c r="C76" s="19">
        <v>45627.0</v>
      </c>
      <c r="D76" s="22">
        <v>767.34</v>
      </c>
      <c r="E76" s="25"/>
      <c r="F76" s="28"/>
    </row>
    <row r="77">
      <c r="A77" s="30" t="s">
        <v>21</v>
      </c>
      <c r="B77" s="31"/>
      <c r="C77" s="32"/>
      <c r="D77" s="24">
        <f>round(D76*(1+5.26%),2)</f>
        <v>807.7</v>
      </c>
      <c r="E77" s="38"/>
      <c r="F77" s="28"/>
    </row>
    <row r="78">
      <c r="A78" s="30" t="s">
        <v>24</v>
      </c>
      <c r="B78" s="31"/>
      <c r="C78" s="32"/>
      <c r="D78" s="24">
        <f>round(D77*10%,2)</f>
        <v>80.77</v>
      </c>
      <c r="E78" s="38"/>
      <c r="F78" s="28"/>
    </row>
    <row r="79">
      <c r="A79" s="33" t="s">
        <v>9</v>
      </c>
      <c r="B79" s="31"/>
      <c r="C79" s="32"/>
      <c r="D79" s="39">
        <f>D77-D78</f>
        <v>726.93</v>
      </c>
      <c r="E79" s="46">
        <v>25551.0</v>
      </c>
      <c r="F79" s="41">
        <f>D79*E79</f>
        <v>18573788.43</v>
      </c>
    </row>
    <row r="80">
      <c r="A80" s="33" t="s">
        <v>26</v>
      </c>
      <c r="B80" s="31"/>
      <c r="C80" s="32"/>
      <c r="D80" s="39"/>
      <c r="E80" s="46"/>
      <c r="F80" s="41">
        <f>round(F79*10%,0)</f>
        <v>1857379</v>
      </c>
    </row>
    <row r="81">
      <c r="A81" s="33" t="s">
        <v>16</v>
      </c>
      <c r="B81" s="31"/>
      <c r="C81" s="32"/>
      <c r="D81" s="39"/>
      <c r="E81" s="46"/>
      <c r="F81" s="41">
        <f>F79+F80</f>
        <v>20431167.43</v>
      </c>
    </row>
    <row r="85">
      <c r="A85" s="2" t="s">
        <v>30</v>
      </c>
    </row>
    <row r="86">
      <c r="A86" s="5"/>
      <c r="B86" s="5"/>
      <c r="C86" s="5"/>
      <c r="D86" s="5"/>
      <c r="E86" s="5"/>
      <c r="F86" s="5"/>
    </row>
    <row r="87">
      <c r="A87" s="9" t="s">
        <v>4</v>
      </c>
      <c r="B87" s="9" t="s">
        <v>5</v>
      </c>
      <c r="C87" s="9" t="s">
        <v>6</v>
      </c>
      <c r="D87" s="9" t="s">
        <v>7</v>
      </c>
      <c r="E87" s="9" t="s">
        <v>8</v>
      </c>
      <c r="F87" s="9" t="s">
        <v>9</v>
      </c>
    </row>
    <row r="88">
      <c r="A88" s="13">
        <v>1.0</v>
      </c>
      <c r="B88" s="15" t="s">
        <v>15</v>
      </c>
      <c r="C88" s="19">
        <v>45658.0</v>
      </c>
      <c r="D88" s="22">
        <v>799.85</v>
      </c>
      <c r="E88" s="25"/>
      <c r="F88" s="28"/>
    </row>
    <row r="89">
      <c r="A89" s="30" t="s">
        <v>21</v>
      </c>
      <c r="B89" s="31"/>
      <c r="C89" s="32"/>
      <c r="D89" s="24">
        <f>round(D88*(1+5.26%),2)</f>
        <v>841.92</v>
      </c>
      <c r="E89" s="38"/>
      <c r="F89" s="28"/>
    </row>
    <row r="90">
      <c r="A90" s="30" t="s">
        <v>24</v>
      </c>
      <c r="B90" s="31"/>
      <c r="C90" s="32"/>
      <c r="D90" s="24">
        <f>round(D89*10%,2)</f>
        <v>84.19</v>
      </c>
      <c r="E90" s="38"/>
      <c r="F90" s="28"/>
    </row>
    <row r="91">
      <c r="A91" s="33" t="s">
        <v>9</v>
      </c>
      <c r="B91" s="31"/>
      <c r="C91" s="32"/>
      <c r="D91" s="39">
        <f>D89-D90</f>
        <v>757.73</v>
      </c>
      <c r="E91" s="46">
        <v>25295.0</v>
      </c>
      <c r="F91" s="41">
        <f>D91*E91</f>
        <v>19166780.35</v>
      </c>
    </row>
    <row r="92">
      <c r="A92" s="33" t="s">
        <v>26</v>
      </c>
      <c r="B92" s="31"/>
      <c r="C92" s="32"/>
      <c r="D92" s="39"/>
      <c r="E92" s="46"/>
      <c r="F92" s="41">
        <f>round(F91*10%,0)</f>
        <v>1916678</v>
      </c>
    </row>
    <row r="93">
      <c r="A93" s="33" t="s">
        <v>16</v>
      </c>
      <c r="B93" s="31"/>
      <c r="C93" s="32"/>
      <c r="D93" s="39"/>
      <c r="E93" s="46"/>
      <c r="F93" s="41">
        <f>F91+F92</f>
        <v>21083458.35</v>
      </c>
    </row>
    <row r="97">
      <c r="A97" s="2" t="s">
        <v>30</v>
      </c>
    </row>
    <row r="98">
      <c r="A98" s="5"/>
      <c r="B98" s="5"/>
      <c r="C98" s="5"/>
      <c r="D98" s="5"/>
      <c r="E98" s="5"/>
      <c r="F98" s="5"/>
    </row>
    <row r="99">
      <c r="A99" s="9" t="s">
        <v>4</v>
      </c>
      <c r="B99" s="9" t="s">
        <v>5</v>
      </c>
      <c r="C99" s="9" t="s">
        <v>6</v>
      </c>
      <c r="D99" s="9" t="s">
        <v>7</v>
      </c>
      <c r="E99" s="9" t="s">
        <v>8</v>
      </c>
      <c r="F99" s="9" t="s">
        <v>9</v>
      </c>
    </row>
    <row r="100">
      <c r="A100" s="13">
        <v>1.0</v>
      </c>
      <c r="B100" s="15" t="s">
        <v>15</v>
      </c>
      <c r="C100" s="19">
        <v>45689.0</v>
      </c>
      <c r="D100" s="22">
        <v>830.79</v>
      </c>
      <c r="E100" s="25"/>
      <c r="F100" s="28"/>
    </row>
    <row r="101">
      <c r="A101" s="30" t="s">
        <v>21</v>
      </c>
      <c r="B101" s="31"/>
      <c r="C101" s="32"/>
      <c r="D101" s="24">
        <f>round(D100*(1+5.26%),2)</f>
        <v>874.49</v>
      </c>
      <c r="E101" s="38"/>
      <c r="F101" s="28"/>
    </row>
    <row r="102">
      <c r="A102" s="30" t="s">
        <v>24</v>
      </c>
      <c r="B102" s="31"/>
      <c r="C102" s="32"/>
      <c r="D102" s="24">
        <f>round(D101*10%,2)</f>
        <v>87.45</v>
      </c>
      <c r="E102" s="38"/>
      <c r="F102" s="28"/>
    </row>
    <row r="103">
      <c r="A103" s="33" t="s">
        <v>9</v>
      </c>
      <c r="B103" s="31"/>
      <c r="C103" s="32"/>
      <c r="D103" s="39">
        <f>D101-D102</f>
        <v>787.04</v>
      </c>
      <c r="E103" s="46">
        <v>25735.0</v>
      </c>
      <c r="F103" s="41">
        <f>D103*E103</f>
        <v>20254474.4</v>
      </c>
    </row>
    <row r="104">
      <c r="A104" s="33" t="s">
        <v>26</v>
      </c>
      <c r="B104" s="31"/>
      <c r="C104" s="32"/>
      <c r="D104" s="39"/>
      <c r="E104" s="46"/>
      <c r="F104" s="41">
        <f>round(F103*10%,0)</f>
        <v>2025447</v>
      </c>
    </row>
    <row r="105">
      <c r="A105" s="33" t="s">
        <v>16</v>
      </c>
      <c r="B105" s="31"/>
      <c r="C105" s="32"/>
      <c r="D105" s="39"/>
      <c r="E105" s="46"/>
      <c r="F105" s="41">
        <f>F103+F104</f>
        <v>22279921.4</v>
      </c>
    </row>
    <row r="109">
      <c r="A109" s="2" t="s">
        <v>30</v>
      </c>
    </row>
    <row r="110">
      <c r="A110" s="5"/>
      <c r="B110" s="5"/>
      <c r="C110" s="5"/>
      <c r="D110" s="5"/>
      <c r="E110" s="5"/>
      <c r="F110" s="5"/>
    </row>
    <row r="111">
      <c r="A111" s="9" t="s">
        <v>4</v>
      </c>
      <c r="B111" s="9" t="s">
        <v>5</v>
      </c>
      <c r="C111" s="9" t="s">
        <v>6</v>
      </c>
      <c r="D111" s="9" t="s">
        <v>7</v>
      </c>
      <c r="E111" s="9" t="s">
        <v>8</v>
      </c>
      <c r="F111" s="9" t="s">
        <v>9</v>
      </c>
    </row>
    <row r="112">
      <c r="A112" s="13">
        <v>1.0</v>
      </c>
      <c r="B112" s="15" t="s">
        <v>15</v>
      </c>
      <c r="C112" s="19">
        <v>45717.0</v>
      </c>
      <c r="D112" s="22">
        <v>843.45</v>
      </c>
      <c r="E112" s="25"/>
      <c r="F112" s="28"/>
    </row>
    <row r="113">
      <c r="A113" s="30" t="s">
        <v>21</v>
      </c>
      <c r="B113" s="31"/>
      <c r="C113" s="32"/>
      <c r="D113" s="24">
        <f>round(D112*(1+5.26%),2)</f>
        <v>887.82</v>
      </c>
      <c r="E113" s="38"/>
      <c r="F113" s="28"/>
    </row>
    <row r="114">
      <c r="A114" s="30" t="s">
        <v>24</v>
      </c>
      <c r="B114" s="31"/>
      <c r="C114" s="32"/>
      <c r="D114" s="24">
        <f>round(D113*10%,2)</f>
        <v>88.78</v>
      </c>
      <c r="E114" s="38"/>
      <c r="F114" s="28"/>
    </row>
    <row r="115">
      <c r="A115" s="33" t="s">
        <v>9</v>
      </c>
      <c r="B115" s="31"/>
      <c r="C115" s="32"/>
      <c r="D115" s="39">
        <f>D113-D114</f>
        <v>799.04</v>
      </c>
      <c r="E115" s="46">
        <v>25775.0</v>
      </c>
      <c r="F115" s="41">
        <f>D115*E115</f>
        <v>20595256</v>
      </c>
    </row>
    <row r="116">
      <c r="A116" s="33" t="s">
        <v>26</v>
      </c>
      <c r="B116" s="31"/>
      <c r="C116" s="32"/>
      <c r="D116" s="39"/>
      <c r="E116" s="46"/>
      <c r="F116" s="41">
        <f>round(F115*10%,0)</f>
        <v>2059526</v>
      </c>
    </row>
    <row r="117">
      <c r="A117" s="33" t="s">
        <v>16</v>
      </c>
      <c r="B117" s="31"/>
      <c r="C117" s="32"/>
      <c r="D117" s="39"/>
      <c r="E117" s="46"/>
      <c r="F117" s="41">
        <f>F115+F116</f>
        <v>22654782</v>
      </c>
    </row>
    <row r="121">
      <c r="A121" s="2" t="s">
        <v>30</v>
      </c>
    </row>
    <row r="122">
      <c r="A122" s="5"/>
      <c r="B122" s="5"/>
      <c r="C122" s="5"/>
      <c r="D122" s="5"/>
      <c r="E122" s="5"/>
      <c r="F122" s="5"/>
    </row>
    <row r="123">
      <c r="A123" s="9" t="s">
        <v>4</v>
      </c>
      <c r="B123" s="9" t="s">
        <v>5</v>
      </c>
      <c r="C123" s="9" t="s">
        <v>6</v>
      </c>
      <c r="D123" s="9" t="s">
        <v>7</v>
      </c>
      <c r="E123" s="9" t="s">
        <v>8</v>
      </c>
      <c r="F123" s="9" t="s">
        <v>9</v>
      </c>
    </row>
    <row r="124">
      <c r="A124" s="13">
        <v>1.0</v>
      </c>
      <c r="B124" s="15" t="s">
        <v>15</v>
      </c>
      <c r="C124" s="19">
        <v>45748.0</v>
      </c>
      <c r="D124" s="22">
        <v>844.03</v>
      </c>
      <c r="E124" s="25"/>
      <c r="F124" s="28"/>
    </row>
    <row r="125">
      <c r="A125" s="30" t="s">
        <v>21</v>
      </c>
      <c r="B125" s="31"/>
      <c r="C125" s="32"/>
      <c r="D125" s="24">
        <f>round(D124*(1+5.26%),2)</f>
        <v>888.43</v>
      </c>
      <c r="E125" s="38"/>
      <c r="F125" s="28"/>
    </row>
    <row r="126">
      <c r="A126" s="30" t="s">
        <v>24</v>
      </c>
      <c r="B126" s="31"/>
      <c r="C126" s="32"/>
      <c r="D126" s="24">
        <f>round(D125*10%,2)</f>
        <v>88.84</v>
      </c>
      <c r="E126" s="38"/>
      <c r="F126" s="28"/>
    </row>
    <row r="127">
      <c r="A127" s="33" t="s">
        <v>9</v>
      </c>
      <c r="B127" s="31"/>
      <c r="C127" s="32"/>
      <c r="D127" s="39">
        <f>D125-D126</f>
        <v>799.59</v>
      </c>
      <c r="E127" s="46">
        <v>26190.0</v>
      </c>
      <c r="F127" s="41">
        <f>D127*E127</f>
        <v>20941262.1</v>
      </c>
    </row>
    <row r="128">
      <c r="A128" s="33" t="s">
        <v>26</v>
      </c>
      <c r="B128" s="31"/>
      <c r="C128" s="32"/>
      <c r="D128" s="39"/>
      <c r="E128" s="46"/>
      <c r="F128" s="41">
        <f>round(F127*10%,0)</f>
        <v>2094126</v>
      </c>
    </row>
    <row r="129">
      <c r="A129" s="33" t="s">
        <v>16</v>
      </c>
      <c r="B129" s="31"/>
      <c r="C129" s="32"/>
      <c r="D129" s="39"/>
      <c r="E129" s="46"/>
      <c r="F129" s="41">
        <f>F127+F128</f>
        <v>23035388.1</v>
      </c>
    </row>
    <row r="133">
      <c r="A133" s="2" t="s">
        <v>30</v>
      </c>
    </row>
    <row r="134">
      <c r="A134" s="5"/>
      <c r="B134" s="5"/>
      <c r="C134" s="5"/>
      <c r="D134" s="5"/>
      <c r="E134" s="5"/>
      <c r="F134" s="5"/>
    </row>
    <row r="135">
      <c r="A135" s="9" t="s">
        <v>4</v>
      </c>
      <c r="B135" s="9" t="s">
        <v>5</v>
      </c>
      <c r="C135" s="9" t="s">
        <v>6</v>
      </c>
      <c r="D135" s="9" t="s">
        <v>7</v>
      </c>
      <c r="E135" s="9" t="s">
        <v>8</v>
      </c>
      <c r="F135" s="9" t="s">
        <v>9</v>
      </c>
    </row>
    <row r="136">
      <c r="A136" s="13">
        <v>1.0</v>
      </c>
      <c r="B136" s="15" t="s">
        <v>15</v>
      </c>
      <c r="C136" s="19">
        <v>45778.0</v>
      </c>
      <c r="D136" s="22">
        <v>793.78</v>
      </c>
      <c r="E136" s="25"/>
      <c r="F136" s="28"/>
    </row>
    <row r="137">
      <c r="A137" s="30" t="s">
        <v>21</v>
      </c>
      <c r="B137" s="31"/>
      <c r="C137" s="32"/>
      <c r="D137" s="24">
        <f>round(D136*(1+5.26%),2)</f>
        <v>835.53</v>
      </c>
      <c r="E137" s="38"/>
      <c r="F137" s="28"/>
    </row>
    <row r="138">
      <c r="A138" s="30" t="s">
        <v>24</v>
      </c>
      <c r="B138" s="31"/>
      <c r="C138" s="32"/>
      <c r="D138" s="24">
        <f>round(D137*10%,2)</f>
        <v>83.55</v>
      </c>
      <c r="E138" s="38"/>
      <c r="F138" s="28"/>
    </row>
    <row r="139">
      <c r="A139" s="33" t="s">
        <v>9</v>
      </c>
      <c r="B139" s="31"/>
      <c r="C139" s="32"/>
      <c r="D139" s="39">
        <f>D137-D138</f>
        <v>751.98</v>
      </c>
      <c r="E139" s="46">
        <v>26225.0</v>
      </c>
      <c r="F139" s="41">
        <f>D139*E139</f>
        <v>19720675.5</v>
      </c>
    </row>
    <row r="140">
      <c r="A140" s="33" t="s">
        <v>26</v>
      </c>
      <c r="B140" s="31"/>
      <c r="C140" s="32"/>
      <c r="D140" s="39"/>
      <c r="E140" s="46"/>
      <c r="F140" s="41">
        <f>round(F139*10%,0)</f>
        <v>1972068</v>
      </c>
    </row>
    <row r="141">
      <c r="A141" s="33" t="s">
        <v>16</v>
      </c>
      <c r="B141" s="31"/>
      <c r="C141" s="32"/>
      <c r="D141" s="39"/>
      <c r="E141" s="46"/>
      <c r="F141" s="41">
        <f>F139+F140</f>
        <v>21692743.5</v>
      </c>
    </row>
    <row r="145">
      <c r="A145" s="2" t="s">
        <v>30</v>
      </c>
    </row>
    <row r="146">
      <c r="A146" s="5"/>
      <c r="B146" s="5"/>
      <c r="C146" s="5"/>
      <c r="D146" s="5"/>
      <c r="E146" s="5"/>
      <c r="F146" s="5"/>
    </row>
    <row r="147">
      <c r="A147" s="9" t="s">
        <v>4</v>
      </c>
      <c r="B147" s="9" t="s">
        <v>5</v>
      </c>
      <c r="C147" s="9" t="s">
        <v>6</v>
      </c>
      <c r="D147" s="9" t="s">
        <v>7</v>
      </c>
      <c r="E147" s="9" t="s">
        <v>8</v>
      </c>
      <c r="F147" s="9" t="s">
        <v>9</v>
      </c>
    </row>
    <row r="148">
      <c r="A148" s="13">
        <v>1.0</v>
      </c>
      <c r="B148" s="15" t="s">
        <v>15</v>
      </c>
      <c r="C148" s="19">
        <v>45809.0</v>
      </c>
      <c r="D148" s="22">
        <v>807.29</v>
      </c>
      <c r="E148" s="25"/>
      <c r="F148" s="28"/>
    </row>
    <row r="149">
      <c r="A149" s="30" t="s">
        <v>21</v>
      </c>
      <c r="B149" s="31"/>
      <c r="C149" s="32"/>
      <c r="D149" s="24">
        <f>round(D148*(1+5.26%),2)</f>
        <v>849.75</v>
      </c>
      <c r="E149" s="38"/>
      <c r="F149" s="28"/>
    </row>
    <row r="150">
      <c r="A150" s="30" t="s">
        <v>24</v>
      </c>
      <c r="B150" s="31"/>
      <c r="C150" s="32"/>
      <c r="D150" s="24">
        <f>round(D149*10%,2)</f>
        <v>84.98</v>
      </c>
      <c r="E150" s="38"/>
      <c r="F150" s="28"/>
    </row>
    <row r="151">
      <c r="A151" s="33" t="s">
        <v>9</v>
      </c>
      <c r="B151" s="31"/>
      <c r="C151" s="32"/>
      <c r="D151" s="39">
        <f>D149-D150</f>
        <v>764.77</v>
      </c>
      <c r="E151" s="46">
        <v>26300.0</v>
      </c>
      <c r="F151" s="41">
        <f>D151*E151</f>
        <v>20113451</v>
      </c>
    </row>
    <row r="152">
      <c r="A152" s="33" t="s">
        <v>26</v>
      </c>
      <c r="B152" s="31"/>
      <c r="C152" s="32"/>
      <c r="D152" s="39"/>
      <c r="E152" s="46"/>
      <c r="F152" s="41">
        <f>round(F151*10%,0)</f>
        <v>2011345</v>
      </c>
    </row>
    <row r="153">
      <c r="A153" s="33" t="s">
        <v>16</v>
      </c>
      <c r="B153" s="31"/>
      <c r="C153" s="32"/>
      <c r="D153" s="39"/>
      <c r="E153" s="46"/>
      <c r="F153" s="41">
        <f>F151+F152</f>
        <v>22124796</v>
      </c>
    </row>
    <row r="157">
      <c r="A157" s="2" t="s">
        <v>30</v>
      </c>
    </row>
    <row r="158">
      <c r="A158" s="5"/>
      <c r="B158" s="5"/>
      <c r="C158" s="5"/>
      <c r="D158" s="5"/>
      <c r="E158" s="5"/>
      <c r="F158" s="5"/>
    </row>
    <row r="159">
      <c r="A159" s="9" t="s">
        <v>4</v>
      </c>
      <c r="B159" s="9" t="s">
        <v>5</v>
      </c>
      <c r="C159" s="9" t="s">
        <v>6</v>
      </c>
      <c r="D159" s="9" t="s">
        <v>7</v>
      </c>
      <c r="E159" s="9" t="s">
        <v>8</v>
      </c>
      <c r="F159" s="9" t="s">
        <v>9</v>
      </c>
    </row>
    <row r="160">
      <c r="A160" s="13">
        <v>1.0</v>
      </c>
      <c r="B160" s="15" t="s">
        <v>15</v>
      </c>
      <c r="C160" s="19">
        <v>45839.0</v>
      </c>
      <c r="D160" s="22">
        <v>732.32</v>
      </c>
      <c r="E160" s="25"/>
      <c r="F160" s="28"/>
    </row>
    <row r="161">
      <c r="A161" s="30" t="s">
        <v>32</v>
      </c>
      <c r="B161" s="31"/>
      <c r="C161" s="32"/>
      <c r="D161" s="24">
        <f>round(D160*(1+10%),2)</f>
        <v>805.55</v>
      </c>
      <c r="E161" s="38"/>
      <c r="F161" s="28"/>
    </row>
    <row r="162">
      <c r="A162" s="30" t="s">
        <v>24</v>
      </c>
      <c r="B162" s="31"/>
      <c r="C162" s="32"/>
      <c r="D162" s="24">
        <f>round(D161*10%,2)</f>
        <v>80.56</v>
      </c>
      <c r="E162" s="38"/>
      <c r="F162" s="28"/>
    </row>
    <row r="163">
      <c r="A163" s="33" t="s">
        <v>9</v>
      </c>
      <c r="B163" s="31"/>
      <c r="C163" s="32"/>
      <c r="D163" s="39">
        <f>D161-D162</f>
        <v>724.99</v>
      </c>
      <c r="E163" s="46">
        <v>26382.0</v>
      </c>
      <c r="F163" s="41">
        <f>D163*E163</f>
        <v>19126686.18</v>
      </c>
    </row>
    <row r="164">
      <c r="A164" s="33" t="s">
        <v>26</v>
      </c>
      <c r="B164" s="31"/>
      <c r="C164" s="32"/>
      <c r="D164" s="39"/>
      <c r="E164" s="46"/>
      <c r="F164" s="41">
        <f>round(F163*10%,0)</f>
        <v>1912669</v>
      </c>
    </row>
    <row r="165">
      <c r="A165" s="33" t="s">
        <v>16</v>
      </c>
      <c r="B165" s="31"/>
      <c r="C165" s="32"/>
      <c r="D165" s="39"/>
      <c r="E165" s="46"/>
      <c r="F165" s="41">
        <f>F163+F164</f>
        <v>21039355.18</v>
      </c>
    </row>
    <row r="170">
      <c r="A170" s="2" t="s">
        <v>30</v>
      </c>
    </row>
    <row r="171">
      <c r="A171" s="5"/>
      <c r="B171" s="5"/>
      <c r="C171" s="5"/>
      <c r="D171" s="5"/>
      <c r="E171" s="5"/>
      <c r="F171" s="5"/>
    </row>
    <row r="172">
      <c r="A172" s="9" t="s">
        <v>4</v>
      </c>
      <c r="B172" s="9" t="s">
        <v>5</v>
      </c>
      <c r="C172" s="9" t="s">
        <v>6</v>
      </c>
      <c r="D172" s="9" t="s">
        <v>7</v>
      </c>
      <c r="E172" s="9" t="s">
        <v>8</v>
      </c>
      <c r="F172" s="9" t="s">
        <v>9</v>
      </c>
    </row>
    <row r="173">
      <c r="A173" s="13">
        <v>1.0</v>
      </c>
      <c r="B173" s="15" t="s">
        <v>15</v>
      </c>
      <c r="C173" s="19">
        <v>45870.0</v>
      </c>
      <c r="D173" s="22">
        <v>663.21</v>
      </c>
      <c r="E173" s="25"/>
      <c r="F173" s="28"/>
    </row>
    <row r="174">
      <c r="A174" s="30" t="s">
        <v>32</v>
      </c>
      <c r="B174" s="31"/>
      <c r="C174" s="32"/>
      <c r="D174" s="24">
        <f>round(D173*(1+10%),2)</f>
        <v>729.53</v>
      </c>
      <c r="E174" s="38"/>
      <c r="F174" s="28"/>
    </row>
    <row r="175">
      <c r="A175" s="30" t="s">
        <v>34</v>
      </c>
      <c r="B175" s="31"/>
      <c r="C175" s="32"/>
      <c r="D175" s="24">
        <f>round(D174*12%,2)</f>
        <v>87.54</v>
      </c>
      <c r="E175" s="38"/>
      <c r="F175" s="28"/>
    </row>
    <row r="176">
      <c r="A176" s="33" t="s">
        <v>9</v>
      </c>
      <c r="B176" s="31"/>
      <c r="C176" s="32"/>
      <c r="D176" s="39">
        <f>D174-D175</f>
        <v>641.99</v>
      </c>
      <c r="E176" s="46">
        <v>26502.0</v>
      </c>
      <c r="F176" s="41">
        <f>D176*E176</f>
        <v>17014018.98</v>
      </c>
    </row>
    <row r="177">
      <c r="A177" s="33" t="s">
        <v>26</v>
      </c>
      <c r="B177" s="31"/>
      <c r="C177" s="32"/>
      <c r="D177" s="39"/>
      <c r="E177" s="46"/>
      <c r="F177" s="41">
        <f>round(F176*10%,0)</f>
        <v>1701402</v>
      </c>
    </row>
    <row r="178">
      <c r="A178" s="33" t="s">
        <v>16</v>
      </c>
      <c r="B178" s="31"/>
      <c r="C178" s="32"/>
      <c r="D178" s="39"/>
      <c r="E178" s="46"/>
      <c r="F178" s="41">
        <f>F176+F177</f>
        <v>18715420.98</v>
      </c>
    </row>
    <row r="184">
      <c r="A184" s="2" t="s">
        <v>30</v>
      </c>
    </row>
    <row r="185">
      <c r="A185" s="5"/>
      <c r="B185" s="5"/>
      <c r="C185" s="5"/>
      <c r="D185" s="5"/>
      <c r="E185" s="5"/>
      <c r="F185" s="5"/>
    </row>
    <row r="186">
      <c r="A186" s="9" t="s">
        <v>4</v>
      </c>
      <c r="B186" s="9" t="s">
        <v>5</v>
      </c>
      <c r="C186" s="9" t="s">
        <v>6</v>
      </c>
      <c r="D186" s="9" t="s">
        <v>7</v>
      </c>
      <c r="E186" s="9" t="s">
        <v>8</v>
      </c>
      <c r="F186" s="9" t="s">
        <v>9</v>
      </c>
    </row>
    <row r="187">
      <c r="A187" s="13">
        <v>1.0</v>
      </c>
      <c r="B187" s="15" t="s">
        <v>15</v>
      </c>
      <c r="C187" s="19">
        <v>45901.0</v>
      </c>
      <c r="D187" s="22">
        <v>696.58</v>
      </c>
      <c r="E187" s="25"/>
      <c r="F187" s="28"/>
    </row>
    <row r="188">
      <c r="A188" s="30" t="s">
        <v>32</v>
      </c>
      <c r="B188" s="31"/>
      <c r="C188" s="32"/>
      <c r="D188" s="24">
        <f>round(D187*(1+10%),2)</f>
        <v>766.24</v>
      </c>
      <c r="E188" s="38"/>
      <c r="F188" s="28"/>
    </row>
    <row r="189">
      <c r="A189" s="30" t="s">
        <v>34</v>
      </c>
      <c r="B189" s="31"/>
      <c r="C189" s="32"/>
      <c r="D189" s="24">
        <f>round(D188*12%,2)</f>
        <v>91.95</v>
      </c>
      <c r="E189" s="38"/>
      <c r="F189" s="28"/>
    </row>
    <row r="190">
      <c r="A190" s="33" t="s">
        <v>9</v>
      </c>
      <c r="B190" s="31"/>
      <c r="C190" s="32"/>
      <c r="D190" s="39">
        <f>D188-D189</f>
        <v>674.29</v>
      </c>
      <c r="E190" s="46">
        <v>26446.0</v>
      </c>
      <c r="F190" s="41">
        <f>D190*E190</f>
        <v>17832273.34</v>
      </c>
    </row>
    <row r="191">
      <c r="A191" s="33" t="s">
        <v>26</v>
      </c>
      <c r="B191" s="31"/>
      <c r="C191" s="32"/>
      <c r="D191" s="39"/>
      <c r="E191" s="46"/>
      <c r="F191" s="41">
        <f>round(F190*10%,0)</f>
        <v>1783227</v>
      </c>
    </row>
    <row r="192">
      <c r="A192" s="33" t="s">
        <v>16</v>
      </c>
      <c r="B192" s="31"/>
      <c r="C192" s="32"/>
      <c r="D192" s="39"/>
      <c r="E192" s="46"/>
      <c r="F192" s="41">
        <f>F190+F191</f>
        <v>19615500.34</v>
      </c>
    </row>
    <row r="198">
      <c r="A198" s="2" t="s">
        <v>30</v>
      </c>
    </row>
    <row r="199">
      <c r="A199" s="5"/>
      <c r="B199" s="5"/>
      <c r="C199" s="5"/>
      <c r="D199" s="5"/>
      <c r="E199" s="5"/>
      <c r="F199" s="5"/>
    </row>
    <row r="200">
      <c r="A200" s="9" t="s">
        <v>4</v>
      </c>
      <c r="B200" s="9" t="s">
        <v>5</v>
      </c>
      <c r="C200" s="9" t="s">
        <v>6</v>
      </c>
      <c r="D200" s="9" t="s">
        <v>7</v>
      </c>
      <c r="E200" s="9" t="s">
        <v>8</v>
      </c>
      <c r="F200" s="9" t="s">
        <v>9</v>
      </c>
    </row>
    <row r="201">
      <c r="A201" s="13">
        <v>1.0</v>
      </c>
      <c r="B201" s="15" t="s">
        <v>15</v>
      </c>
      <c r="C201" s="19">
        <v>45931.0</v>
      </c>
      <c r="D201" s="22">
        <v>702.64</v>
      </c>
      <c r="E201" s="25"/>
      <c r="F201" s="28"/>
    </row>
    <row r="202">
      <c r="A202" s="30" t="s">
        <v>32</v>
      </c>
      <c r="B202" s="31"/>
      <c r="C202" s="32"/>
      <c r="D202" s="24">
        <f>round(D201*(1+10%),2)</f>
        <v>772.9</v>
      </c>
      <c r="E202" s="38"/>
      <c r="F202" s="28"/>
    </row>
    <row r="203">
      <c r="A203" s="30" t="s">
        <v>34</v>
      </c>
      <c r="B203" s="31"/>
      <c r="C203" s="32"/>
      <c r="D203" s="24">
        <f>round(D202*12%,2)</f>
        <v>92.75</v>
      </c>
      <c r="E203" s="38"/>
      <c r="F203" s="28"/>
    </row>
    <row r="204">
      <c r="A204" s="33" t="s">
        <v>9</v>
      </c>
      <c r="B204" s="31"/>
      <c r="C204" s="32"/>
      <c r="D204" s="39">
        <f>D202-D203</f>
        <v>680.15</v>
      </c>
      <c r="E204" s="46">
        <v>26347.0</v>
      </c>
      <c r="F204" s="41">
        <f>D204*E204</f>
        <v>17919912.05</v>
      </c>
    </row>
    <row r="205">
      <c r="A205" s="33" t="s">
        <v>26</v>
      </c>
      <c r="B205" s="31"/>
      <c r="C205" s="32"/>
      <c r="D205" s="39"/>
      <c r="E205" s="46"/>
      <c r="F205" s="41">
        <f>round(F204*10%,0)</f>
        <v>1791991</v>
      </c>
    </row>
    <row r="206">
      <c r="A206" s="33" t="s">
        <v>16</v>
      </c>
      <c r="B206" s="31"/>
      <c r="C206" s="32"/>
      <c r="D206" s="39"/>
      <c r="E206" s="46"/>
      <c r="F206" s="41">
        <f>F204+F205</f>
        <v>19711903.05</v>
      </c>
    </row>
    <row r="211">
      <c r="A211" s="2" t="s">
        <v>30</v>
      </c>
    </row>
    <row r="212">
      <c r="A212" s="5"/>
      <c r="B212" s="5"/>
      <c r="C212" s="5"/>
      <c r="D212" s="5"/>
      <c r="E212" s="5"/>
      <c r="F212" s="5"/>
    </row>
    <row r="213">
      <c r="A213" s="9" t="s">
        <v>4</v>
      </c>
      <c r="B213" s="9" t="s">
        <v>5</v>
      </c>
      <c r="C213" s="9" t="s">
        <v>6</v>
      </c>
      <c r="D213" s="9" t="s">
        <v>7</v>
      </c>
      <c r="E213" s="9" t="s">
        <v>8</v>
      </c>
      <c r="F213" s="9" t="s">
        <v>9</v>
      </c>
    </row>
    <row r="214">
      <c r="A214" s="13">
        <v>1.0</v>
      </c>
      <c r="B214" s="15" t="s">
        <v>15</v>
      </c>
      <c r="C214" s="19">
        <v>45962.0</v>
      </c>
      <c r="D214" s="22">
        <v>702.98</v>
      </c>
      <c r="E214" s="25"/>
      <c r="F214" s="28"/>
    </row>
    <row r="215">
      <c r="A215" s="30" t="s">
        <v>32</v>
      </c>
      <c r="B215" s="31"/>
      <c r="C215" s="32"/>
      <c r="D215" s="24">
        <f>round(D214*(1+10%),2)</f>
        <v>773.28</v>
      </c>
      <c r="E215" s="38"/>
      <c r="F215" s="28"/>
    </row>
    <row r="216">
      <c r="A216" s="30" t="s">
        <v>34</v>
      </c>
      <c r="B216" s="31"/>
      <c r="C216" s="32"/>
      <c r="D216" s="24">
        <f>round(D215*12%,2)</f>
        <v>92.79</v>
      </c>
      <c r="E216" s="38"/>
      <c r="F216" s="28"/>
    </row>
    <row r="217">
      <c r="A217" s="33" t="s">
        <v>9</v>
      </c>
      <c r="B217" s="31"/>
      <c r="C217" s="32"/>
      <c r="D217" s="39">
        <f>D215-D216</f>
        <v>680.49</v>
      </c>
      <c r="E217" s="46">
        <v>26412.0</v>
      </c>
      <c r="F217" s="41">
        <f>D217*E217</f>
        <v>17973101.88</v>
      </c>
    </row>
    <row r="218">
      <c r="A218" s="33" t="s">
        <v>26</v>
      </c>
      <c r="B218" s="31"/>
      <c r="C218" s="32"/>
      <c r="D218" s="39"/>
      <c r="E218" s="46"/>
      <c r="F218" s="41">
        <f>round(F217*10%,0)</f>
        <v>1797310</v>
      </c>
    </row>
    <row r="219">
      <c r="A219" s="33" t="s">
        <v>16</v>
      </c>
      <c r="B219" s="31"/>
      <c r="C219" s="32"/>
      <c r="D219" s="39"/>
      <c r="E219" s="46"/>
      <c r="F219" s="41">
        <f>F217+F218</f>
        <v>19770411.88</v>
      </c>
    </row>
    <row r="225">
      <c r="A225" s="2" t="s">
        <v>30</v>
      </c>
    </row>
    <row r="226">
      <c r="A226" s="5"/>
      <c r="B226" s="5"/>
      <c r="C226" s="5"/>
      <c r="D226" s="5"/>
      <c r="E226" s="5"/>
      <c r="F226" s="5"/>
    </row>
    <row r="227">
      <c r="A227" s="9" t="s">
        <v>4</v>
      </c>
      <c r="B227" s="9" t="s">
        <v>5</v>
      </c>
      <c r="C227" s="9" t="s">
        <v>6</v>
      </c>
      <c r="D227" s="9" t="s">
        <v>7</v>
      </c>
      <c r="E227" s="9" t="s">
        <v>8</v>
      </c>
      <c r="F227" s="9" t="s">
        <v>9</v>
      </c>
    </row>
    <row r="228">
      <c r="A228" s="13">
        <v>1.0</v>
      </c>
      <c r="B228" s="15" t="s">
        <v>15</v>
      </c>
      <c r="C228" s="19">
        <v>45992.0</v>
      </c>
      <c r="D228" s="22">
        <v>716.85</v>
      </c>
      <c r="E228" s="25"/>
      <c r="F228" s="28"/>
    </row>
    <row r="229">
      <c r="A229" s="30" t="s">
        <v>32</v>
      </c>
      <c r="B229" s="31"/>
      <c r="C229" s="32"/>
      <c r="D229" s="24">
        <f>round(D228*(1+10%),2)</f>
        <v>788.54</v>
      </c>
      <c r="E229" s="38"/>
      <c r="F229" s="28"/>
    </row>
    <row r="230">
      <c r="A230" s="30" t="s">
        <v>34</v>
      </c>
      <c r="B230" s="31"/>
      <c r="C230" s="32"/>
      <c r="D230" s="24">
        <f>round(D229*12%,2)</f>
        <v>94.62</v>
      </c>
      <c r="E230" s="38"/>
      <c r="F230" s="28"/>
    </row>
    <row r="231">
      <c r="A231" s="33" t="s">
        <v>9</v>
      </c>
      <c r="B231" s="31"/>
      <c r="C231" s="32"/>
      <c r="D231" s="39">
        <f>D229-D230</f>
        <v>693.92</v>
      </c>
      <c r="E231" s="46">
        <v>26377.0</v>
      </c>
      <c r="F231" s="41">
        <f>D231*E231</f>
        <v>18303527.84</v>
      </c>
    </row>
    <row r="232">
      <c r="A232" s="33" t="s">
        <v>26</v>
      </c>
      <c r="B232" s="31"/>
      <c r="C232" s="32"/>
      <c r="D232" s="39"/>
      <c r="E232" s="46"/>
      <c r="F232" s="41">
        <f>round(F231*10%,0)</f>
        <v>1830353</v>
      </c>
    </row>
    <row r="233">
      <c r="A233" s="33" t="s">
        <v>16</v>
      </c>
      <c r="B233" s="31"/>
      <c r="C233" s="32"/>
      <c r="D233" s="39"/>
      <c r="E233" s="46"/>
      <c r="F233" s="41">
        <f>F231+F232</f>
        <v>20133880.84</v>
      </c>
    </row>
    <row r="239">
      <c r="A239" s="2" t="s">
        <v>30</v>
      </c>
    </row>
    <row r="240">
      <c r="A240" s="5"/>
      <c r="B240" s="5"/>
      <c r="C240" s="5"/>
      <c r="D240" s="5"/>
      <c r="E240" s="5"/>
      <c r="F240" s="5"/>
    </row>
    <row r="241">
      <c r="A241" s="9" t="s">
        <v>4</v>
      </c>
      <c r="B241" s="9" t="s">
        <v>5</v>
      </c>
      <c r="C241" s="9" t="s">
        <v>6</v>
      </c>
      <c r="D241" s="9" t="s">
        <v>7</v>
      </c>
      <c r="E241" s="9" t="s">
        <v>8</v>
      </c>
      <c r="F241" s="9" t="s">
        <v>9</v>
      </c>
    </row>
    <row r="242">
      <c r="A242" s="13">
        <v>1.0</v>
      </c>
      <c r="B242" s="15" t="s">
        <v>15</v>
      </c>
      <c r="C242" s="19">
        <v>46023.0</v>
      </c>
      <c r="D242" s="22">
        <v>732.45</v>
      </c>
      <c r="E242" s="25"/>
      <c r="F242" s="28"/>
    </row>
    <row r="243">
      <c r="A243" s="30" t="s">
        <v>32</v>
      </c>
      <c r="B243" s="31"/>
      <c r="C243" s="32"/>
      <c r="D243" s="24">
        <f>round(D242*(1+10%),2)</f>
        <v>805.7</v>
      </c>
      <c r="E243" s="38"/>
      <c r="F243" s="28"/>
    </row>
    <row r="244">
      <c r="A244" s="30" t="s">
        <v>34</v>
      </c>
      <c r="B244" s="31"/>
      <c r="C244" s="32"/>
      <c r="D244" s="24">
        <f>round(D243*12%,2)</f>
        <v>96.68</v>
      </c>
      <c r="E244" s="38"/>
      <c r="F244" s="28"/>
    </row>
    <row r="245">
      <c r="A245" s="33" t="s">
        <v>9</v>
      </c>
      <c r="B245" s="31"/>
      <c r="C245" s="32"/>
      <c r="D245" s="39">
        <f>D243-D244</f>
        <v>709.02</v>
      </c>
      <c r="E245" s="46">
        <v>26145.0</v>
      </c>
      <c r="F245" s="41">
        <f>round(D245*E245,0)</f>
        <v>18537328</v>
      </c>
    </row>
    <row r="246">
      <c r="A246" s="33" t="s">
        <v>26</v>
      </c>
      <c r="B246" s="31"/>
      <c r="C246" s="32"/>
      <c r="D246" s="39"/>
      <c r="E246" s="46"/>
      <c r="F246" s="41">
        <f>round(F245*10%,0)</f>
        <v>1853733</v>
      </c>
    </row>
    <row r="247">
      <c r="A247" s="33" t="s">
        <v>16</v>
      </c>
      <c r="B247" s="31"/>
      <c r="C247" s="32"/>
      <c r="D247" s="39"/>
      <c r="E247" s="46"/>
      <c r="F247" s="41">
        <f>F245+F246</f>
        <v>20391061</v>
      </c>
    </row>
    <row r="253">
      <c r="A253" s="2" t="s">
        <v>30</v>
      </c>
    </row>
    <row r="254">
      <c r="A254" s="5"/>
      <c r="B254" s="5"/>
      <c r="C254" s="5"/>
      <c r="D254" s="5"/>
      <c r="E254" s="5"/>
      <c r="F254" s="5"/>
    </row>
    <row r="255">
      <c r="A255" s="9" t="s">
        <v>4</v>
      </c>
      <c r="B255" s="9" t="s">
        <v>5</v>
      </c>
      <c r="C255" s="9" t="s">
        <v>6</v>
      </c>
      <c r="D255" s="9" t="s">
        <v>7</v>
      </c>
      <c r="E255" s="9" t="s">
        <v>8</v>
      </c>
      <c r="F255" s="9" t="s">
        <v>9</v>
      </c>
    </row>
    <row r="256">
      <c r="A256" s="13">
        <v>1.0</v>
      </c>
      <c r="B256" s="15" t="s">
        <v>15</v>
      </c>
      <c r="C256" s="19">
        <v>46054.0</v>
      </c>
      <c r="D256" s="22">
        <v>741.3</v>
      </c>
      <c r="E256" s="25"/>
      <c r="F256" s="28"/>
    </row>
    <row r="257">
      <c r="A257" s="30" t="s">
        <v>32</v>
      </c>
      <c r="B257" s="31"/>
      <c r="C257" s="32"/>
      <c r="D257" s="24">
        <f>round(D256*(1+10%),2)</f>
        <v>815.43</v>
      </c>
      <c r="E257" s="38"/>
      <c r="F257" s="28"/>
    </row>
    <row r="258">
      <c r="A258" s="30" t="s">
        <v>34</v>
      </c>
      <c r="B258" s="31"/>
      <c r="C258" s="32"/>
      <c r="D258" s="24">
        <f>round(D257*12%,2)</f>
        <v>97.85</v>
      </c>
      <c r="E258" s="38"/>
      <c r="F258" s="28"/>
    </row>
    <row r="259">
      <c r="A259" s="33" t="s">
        <v>9</v>
      </c>
      <c r="B259" s="31"/>
      <c r="C259" s="32"/>
      <c r="D259" s="39">
        <f>D257-D258</f>
        <v>717.58</v>
      </c>
      <c r="E259" s="46">
        <v>26240.0</v>
      </c>
      <c r="F259" s="41">
        <f>round(D259*E259,0)</f>
        <v>18829299</v>
      </c>
    </row>
    <row r="260">
      <c r="A260" s="33" t="s">
        <v>26</v>
      </c>
      <c r="B260" s="31"/>
      <c r="C260" s="32"/>
      <c r="D260" s="39"/>
      <c r="E260" s="46"/>
      <c r="F260" s="41">
        <f>round(F259*10%,0)</f>
        <v>1882930</v>
      </c>
    </row>
    <row r="261">
      <c r="A261" s="33" t="s">
        <v>16</v>
      </c>
      <c r="B261" s="31"/>
      <c r="C261" s="32"/>
      <c r="D261" s="39"/>
      <c r="E261" s="46"/>
      <c r="F261" s="41">
        <f>F259+F260</f>
        <v>20712229</v>
      </c>
    </row>
    <row r="267">
      <c r="A267" s="2" t="s">
        <v>30</v>
      </c>
    </row>
    <row r="268">
      <c r="A268" s="5"/>
      <c r="B268" s="5"/>
      <c r="C268" s="5"/>
      <c r="D268" s="5"/>
      <c r="E268" s="5"/>
      <c r="F268" s="5"/>
    </row>
    <row r="269">
      <c r="A269" s="9" t="s">
        <v>4</v>
      </c>
      <c r="B269" s="9" t="s">
        <v>5</v>
      </c>
      <c r="C269" s="9" t="s">
        <v>6</v>
      </c>
      <c r="D269" s="9" t="s">
        <v>7</v>
      </c>
      <c r="E269" s="9" t="s">
        <v>8</v>
      </c>
      <c r="F269" s="9" t="s">
        <v>9</v>
      </c>
    </row>
    <row r="270">
      <c r="A270" s="13">
        <v>1.0</v>
      </c>
      <c r="B270" s="15" t="s">
        <v>15</v>
      </c>
      <c r="C270" s="19">
        <v>46082.0</v>
      </c>
      <c r="D270" s="22">
        <v>722.64</v>
      </c>
      <c r="E270" s="25"/>
      <c r="F270" s="28"/>
    </row>
    <row r="271">
      <c r="A271" s="30" t="s">
        <v>32</v>
      </c>
      <c r="B271" s="31"/>
      <c r="C271" s="32"/>
      <c r="D271" s="24">
        <f>round(D270*(1+10%),2)</f>
        <v>794.9</v>
      </c>
      <c r="E271" s="38"/>
      <c r="F271" s="28"/>
    </row>
    <row r="272">
      <c r="A272" s="30" t="s">
        <v>34</v>
      </c>
      <c r="B272" s="31"/>
      <c r="C272" s="32"/>
      <c r="D272" s="24">
        <f>round(D271*12%,2)</f>
        <v>95.39</v>
      </c>
      <c r="E272" s="38"/>
      <c r="F272" s="28"/>
    </row>
    <row r="273">
      <c r="A273" s="33" t="s">
        <v>9</v>
      </c>
      <c r="B273" s="31"/>
      <c r="C273" s="32"/>
      <c r="D273" s="39">
        <f>D271-D272</f>
        <v>699.51</v>
      </c>
      <c r="E273" s="46">
        <v>26357.0</v>
      </c>
      <c r="F273" s="41">
        <f>round(D273*E273,0)</f>
        <v>18436985</v>
      </c>
    </row>
    <row r="274">
      <c r="A274" s="33" t="s">
        <v>26</v>
      </c>
      <c r="B274" s="31"/>
      <c r="C274" s="32"/>
      <c r="D274" s="39"/>
      <c r="E274" s="46"/>
      <c r="F274" s="41">
        <f>round(F273*10%,0)</f>
        <v>1843699</v>
      </c>
    </row>
    <row r="275">
      <c r="A275" s="33" t="s">
        <v>16</v>
      </c>
      <c r="B275" s="31"/>
      <c r="C275" s="32"/>
      <c r="D275" s="39"/>
      <c r="E275" s="46"/>
      <c r="F275" s="41">
        <f>F273+F274</f>
        <v>20280684</v>
      </c>
    </row>
    <row r="281">
      <c r="A281" s="2" t="s">
        <v>30</v>
      </c>
    </row>
    <row r="282">
      <c r="A282" s="5"/>
      <c r="B282" s="5"/>
      <c r="C282" s="5"/>
      <c r="D282" s="5"/>
      <c r="E282" s="5"/>
      <c r="F282" s="5"/>
    </row>
    <row r="283">
      <c r="A283" s="9" t="s">
        <v>4</v>
      </c>
      <c r="B283" s="9" t="s">
        <v>5</v>
      </c>
      <c r="C283" s="9" t="s">
        <v>6</v>
      </c>
      <c r="D283" s="9" t="s">
        <v>7</v>
      </c>
      <c r="E283" s="9" t="s">
        <v>8</v>
      </c>
      <c r="F283" s="9" t="s">
        <v>9</v>
      </c>
    </row>
    <row r="284">
      <c r="A284" s="13">
        <v>1.0</v>
      </c>
      <c r="B284" s="15" t="s">
        <v>15</v>
      </c>
      <c r="C284" s="19">
        <v>46113.0</v>
      </c>
      <c r="D284" s="22">
        <v>759.01</v>
      </c>
      <c r="E284" s="25"/>
      <c r="F284" s="28"/>
    </row>
    <row r="285">
      <c r="A285" s="30" t="s">
        <v>32</v>
      </c>
      <c r="B285" s="31"/>
      <c r="C285" s="32"/>
      <c r="D285" s="24">
        <f>round(D284*(1+10%),2)</f>
        <v>834.91</v>
      </c>
      <c r="E285" s="38"/>
      <c r="F285" s="28"/>
    </row>
    <row r="286">
      <c r="A286" s="30" t="s">
        <v>34</v>
      </c>
      <c r="B286" s="31"/>
      <c r="C286" s="32"/>
      <c r="D286" s="24">
        <f>round(D285*12%,2)</f>
        <v>100.19</v>
      </c>
      <c r="E286" s="38"/>
      <c r="F286" s="28"/>
    </row>
    <row r="287">
      <c r="A287" s="33" t="s">
        <v>9</v>
      </c>
      <c r="B287" s="31"/>
      <c r="C287" s="32"/>
      <c r="D287" s="39">
        <f>D285-D286</f>
        <v>734.72</v>
      </c>
      <c r="E287" s="46">
        <v>26368.0</v>
      </c>
      <c r="F287" s="41">
        <f>round(D287*E287,0)</f>
        <v>19373097</v>
      </c>
    </row>
    <row r="288">
      <c r="A288" s="33" t="s">
        <v>26</v>
      </c>
      <c r="B288" s="31"/>
      <c r="C288" s="32"/>
      <c r="D288" s="39"/>
      <c r="E288" s="46"/>
      <c r="F288" s="41">
        <f>round(F287*10%,0)</f>
        <v>1937310</v>
      </c>
    </row>
    <row r="289">
      <c r="A289" s="33" t="s">
        <v>16</v>
      </c>
      <c r="B289" s="31"/>
      <c r="C289" s="32"/>
      <c r="D289" s="39"/>
      <c r="E289" s="46"/>
      <c r="F289" s="41">
        <f>F287+F288</f>
        <v>21310407</v>
      </c>
    </row>
    <row r="295">
      <c r="A295" s="2" t="s">
        <v>30</v>
      </c>
    </row>
    <row r="296">
      <c r="A296" s="5"/>
      <c r="B296" s="5"/>
      <c r="C296" s="5"/>
      <c r="D296" s="5"/>
      <c r="E296" s="5"/>
      <c r="F296" s="5"/>
    </row>
    <row r="297">
      <c r="A297" s="9" t="s">
        <v>4</v>
      </c>
      <c r="B297" s="9" t="s">
        <v>5</v>
      </c>
      <c r="C297" s="9" t="s">
        <v>6</v>
      </c>
      <c r="D297" s="9" t="s">
        <v>7</v>
      </c>
      <c r="E297" s="9" t="s">
        <v>8</v>
      </c>
      <c r="F297" s="9" t="s">
        <v>9</v>
      </c>
    </row>
    <row r="298">
      <c r="A298" s="13">
        <v>1.0</v>
      </c>
      <c r="B298" s="15" t="s">
        <v>15</v>
      </c>
      <c r="C298" s="19">
        <v>46143.0</v>
      </c>
      <c r="D298" s="22">
        <v>766.15</v>
      </c>
      <c r="E298" s="25"/>
      <c r="F298" s="28"/>
    </row>
    <row r="299">
      <c r="A299" s="30" t="s">
        <v>32</v>
      </c>
      <c r="B299" s="31"/>
      <c r="C299" s="32"/>
      <c r="D299" s="24">
        <f>round(D298*(1+10%),2)</f>
        <v>842.77</v>
      </c>
      <c r="E299" s="38"/>
      <c r="F299" s="28"/>
    </row>
    <row r="300">
      <c r="A300" s="30" t="s">
        <v>34</v>
      </c>
      <c r="B300" s="31"/>
      <c r="C300" s="32"/>
      <c r="D300" s="24">
        <f>round(D299*12%,2)</f>
        <v>101.13</v>
      </c>
      <c r="E300" s="38"/>
      <c r="F300" s="28"/>
    </row>
    <row r="301">
      <c r="A301" s="33" t="s">
        <v>9</v>
      </c>
      <c r="B301" s="31"/>
      <c r="C301" s="32"/>
      <c r="D301" s="39">
        <f>D299-D300</f>
        <v>741.64</v>
      </c>
      <c r="E301" s="46">
        <v>26395.0</v>
      </c>
      <c r="F301" s="41">
        <f>round(D301*E301,0)</f>
        <v>19575588</v>
      </c>
    </row>
    <row r="302">
      <c r="A302" s="33" t="s">
        <v>26</v>
      </c>
      <c r="B302" s="31"/>
      <c r="C302" s="32"/>
      <c r="D302" s="39"/>
      <c r="E302" s="46"/>
      <c r="F302" s="41">
        <f>round(F301*10%,0)</f>
        <v>1957559</v>
      </c>
    </row>
    <row r="303">
      <c r="A303" s="33" t="s">
        <v>16</v>
      </c>
      <c r="B303" s="31"/>
      <c r="C303" s="32"/>
      <c r="D303" s="39"/>
      <c r="E303" s="46"/>
      <c r="F303" s="41">
        <f>F301+F302</f>
        <v>21533147</v>
      </c>
    </row>
    <row r="309">
      <c r="A309" s="2" t="s">
        <v>30</v>
      </c>
    </row>
    <row r="310">
      <c r="A310" s="5"/>
      <c r="B310" s="5"/>
      <c r="C310" s="5"/>
      <c r="D310" s="5"/>
      <c r="E310" s="5"/>
      <c r="F310" s="5"/>
    </row>
    <row r="311">
      <c r="A311" s="9" t="s">
        <v>4</v>
      </c>
      <c r="B311" s="9" t="s">
        <v>5</v>
      </c>
      <c r="C311" s="9" t="s">
        <v>6</v>
      </c>
      <c r="D311" s="9" t="s">
        <v>7</v>
      </c>
      <c r="E311" s="9" t="s">
        <v>8</v>
      </c>
      <c r="F311" s="9" t="s">
        <v>9</v>
      </c>
    </row>
    <row r="312">
      <c r="A312" s="13">
        <v>1.0</v>
      </c>
      <c r="B312" s="15" t="s">
        <v>15</v>
      </c>
      <c r="C312" s="19">
        <v>46174.0</v>
      </c>
      <c r="D312" s="22">
        <v>722.19</v>
      </c>
      <c r="E312" s="25"/>
      <c r="F312" s="28"/>
    </row>
    <row r="313">
      <c r="A313" s="30" t="s">
        <v>32</v>
      </c>
      <c r="B313" s="31"/>
      <c r="C313" s="32"/>
      <c r="D313" s="24">
        <f>round(D312*(1+10%),2)</f>
        <v>794.41</v>
      </c>
      <c r="E313" s="38"/>
      <c r="F313" s="28"/>
    </row>
    <row r="314">
      <c r="A314" s="30" t="s">
        <v>34</v>
      </c>
      <c r="B314" s="31"/>
      <c r="C314" s="32"/>
      <c r="D314" s="24">
        <f>round(D313*12%,2)</f>
        <v>95.33</v>
      </c>
      <c r="E314" s="38"/>
      <c r="F314" s="28"/>
    </row>
    <row r="315">
      <c r="A315" s="33" t="s">
        <v>9</v>
      </c>
      <c r="B315" s="31"/>
      <c r="C315" s="32"/>
      <c r="D315" s="39">
        <f>D313-D314</f>
        <v>699.08</v>
      </c>
      <c r="E315" s="46">
        <v>26466.0</v>
      </c>
      <c r="F315" s="41">
        <f>round(D315*E315,0)</f>
        <v>18501851</v>
      </c>
    </row>
    <row r="316">
      <c r="A316" s="33" t="s">
        <v>26</v>
      </c>
      <c r="B316" s="31"/>
      <c r="C316" s="32"/>
      <c r="D316" s="39"/>
      <c r="E316" s="46"/>
      <c r="F316" s="41">
        <f>round(F315*10%,0)</f>
        <v>1850185</v>
      </c>
    </row>
    <row r="317">
      <c r="A317" s="33" t="s">
        <v>16</v>
      </c>
      <c r="B317" s="31"/>
      <c r="C317" s="32"/>
      <c r="D317" s="39"/>
      <c r="E317" s="46"/>
      <c r="F317" s="41">
        <f>F315+F316</f>
        <v>20352036</v>
      </c>
    </row>
    <row r="323">
      <c r="A323" s="2" t="s">
        <v>30</v>
      </c>
    </row>
    <row r="324">
      <c r="A324" s="5"/>
      <c r="B324" s="5"/>
      <c r="C324" s="5"/>
      <c r="D324" s="5"/>
      <c r="E324" s="5"/>
      <c r="F324" s="5"/>
    </row>
    <row r="325">
      <c r="A325" s="9" t="s">
        <v>4</v>
      </c>
      <c r="B325" s="9" t="s">
        <v>5</v>
      </c>
      <c r="C325" s="9" t="s">
        <v>6</v>
      </c>
      <c r="D325" s="9" t="s">
        <v>7</v>
      </c>
      <c r="E325" s="9" t="s">
        <v>8</v>
      </c>
      <c r="F325" s="9" t="s">
        <v>9</v>
      </c>
    </row>
    <row r="326">
      <c r="A326" s="13">
        <v>1.0</v>
      </c>
      <c r="B326" s="15" t="s">
        <v>15</v>
      </c>
      <c r="C326" s="19">
        <v>46204.0</v>
      </c>
      <c r="D326" s="22">
        <v>731.02</v>
      </c>
      <c r="E326" s="25"/>
      <c r="F326" s="28"/>
    </row>
    <row r="327">
      <c r="A327" s="30" t="s">
        <v>32</v>
      </c>
      <c r="B327" s="31"/>
      <c r="C327" s="32"/>
      <c r="D327" s="24">
        <f>round(D326*(1+10%),2)</f>
        <v>804.12</v>
      </c>
      <c r="E327" s="38"/>
      <c r="F327" s="28"/>
    </row>
    <row r="328">
      <c r="A328" s="30" t="s">
        <v>34</v>
      </c>
      <c r="B328" s="31"/>
      <c r="C328" s="32"/>
      <c r="D328" s="24">
        <f>round(D327*12%,2)</f>
        <v>96.49</v>
      </c>
      <c r="E328" s="38"/>
      <c r="F328" s="28"/>
    </row>
    <row r="329">
      <c r="A329" s="33" t="s">
        <v>9</v>
      </c>
      <c r="B329" s="31"/>
      <c r="C329" s="32"/>
      <c r="D329" s="39">
        <f>D327-D328</f>
        <v>707.63</v>
      </c>
      <c r="E329" s="46">
        <v>26475.0</v>
      </c>
      <c r="F329" s="41">
        <f>round(D329*E329,0)</f>
        <v>18734504</v>
      </c>
    </row>
    <row r="330">
      <c r="A330" s="33" t="s">
        <v>26</v>
      </c>
      <c r="B330" s="31"/>
      <c r="C330" s="32"/>
      <c r="D330" s="39"/>
      <c r="E330" s="46"/>
      <c r="F330" s="41">
        <f>round(F329*10%,0)</f>
        <v>1873450</v>
      </c>
    </row>
    <row r="331">
      <c r="A331" s="33" t="s">
        <v>16</v>
      </c>
      <c r="B331" s="31"/>
      <c r="C331" s="32"/>
      <c r="D331" s="39"/>
      <c r="E331" s="46"/>
      <c r="F331" s="41">
        <f>F329+F330</f>
        <v>20607954</v>
      </c>
    </row>
  </sheetData>
  <mergeCells count="156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49:F49"/>
    <mergeCell ref="A53:C53"/>
    <mergeCell ref="A54:C54"/>
    <mergeCell ref="A55:C55"/>
    <mergeCell ref="A56:C56"/>
    <mergeCell ref="A57:C57"/>
    <mergeCell ref="A61:F61"/>
    <mergeCell ref="A65:C65"/>
    <mergeCell ref="A66:C66"/>
    <mergeCell ref="A67:C67"/>
    <mergeCell ref="A68:C68"/>
    <mergeCell ref="A69:C69"/>
    <mergeCell ref="A73:F73"/>
    <mergeCell ref="A77:C77"/>
    <mergeCell ref="A78:C78"/>
    <mergeCell ref="A79:C79"/>
    <mergeCell ref="A80:C80"/>
    <mergeCell ref="A81:C81"/>
    <mergeCell ref="A85:F85"/>
    <mergeCell ref="A89:C89"/>
    <mergeCell ref="A90:C90"/>
    <mergeCell ref="A91:C91"/>
    <mergeCell ref="A92:C92"/>
    <mergeCell ref="A93:C93"/>
    <mergeCell ref="A97:F97"/>
    <mergeCell ref="A188:C188"/>
    <mergeCell ref="A189:C189"/>
    <mergeCell ref="A190:C190"/>
    <mergeCell ref="A191:C191"/>
    <mergeCell ref="A192:C192"/>
    <mergeCell ref="A198:F198"/>
    <mergeCell ref="A202:C202"/>
    <mergeCell ref="A203:C203"/>
    <mergeCell ref="A204:C204"/>
    <mergeCell ref="A205:C205"/>
    <mergeCell ref="A206:C206"/>
    <mergeCell ref="A211:F211"/>
    <mergeCell ref="A215:C215"/>
    <mergeCell ref="A216:C216"/>
    <mergeCell ref="A232:C232"/>
    <mergeCell ref="A233:C233"/>
    <mergeCell ref="A239:F239"/>
    <mergeCell ref="A243:C243"/>
    <mergeCell ref="A244:C244"/>
    <mergeCell ref="A245:C245"/>
    <mergeCell ref="A246:C246"/>
    <mergeCell ref="A247:C247"/>
    <mergeCell ref="A253:F253"/>
    <mergeCell ref="A257:C257"/>
    <mergeCell ref="A258:C258"/>
    <mergeCell ref="A259:C259"/>
    <mergeCell ref="A260:C260"/>
    <mergeCell ref="A261:C261"/>
    <mergeCell ref="A267:F267"/>
    <mergeCell ref="A271:C271"/>
    <mergeCell ref="A272:C272"/>
    <mergeCell ref="A273:C273"/>
    <mergeCell ref="A274:C274"/>
    <mergeCell ref="A275:C275"/>
    <mergeCell ref="A281:F281"/>
    <mergeCell ref="A285:C285"/>
    <mergeCell ref="A286:C286"/>
    <mergeCell ref="A287:C287"/>
    <mergeCell ref="A288:C288"/>
    <mergeCell ref="A289:C289"/>
    <mergeCell ref="A295:F295"/>
    <mergeCell ref="A299:C299"/>
    <mergeCell ref="A300:C300"/>
    <mergeCell ref="A301:C301"/>
    <mergeCell ref="A302:C302"/>
    <mergeCell ref="A303:C303"/>
    <mergeCell ref="A309:F309"/>
    <mergeCell ref="A313:C313"/>
    <mergeCell ref="A314:C314"/>
    <mergeCell ref="A330:C330"/>
    <mergeCell ref="A331:C331"/>
    <mergeCell ref="A315:C315"/>
    <mergeCell ref="A316:C316"/>
    <mergeCell ref="A317:C317"/>
    <mergeCell ref="A323:F323"/>
    <mergeCell ref="A327:C327"/>
    <mergeCell ref="A328:C328"/>
    <mergeCell ref="A329:C329"/>
    <mergeCell ref="A101:C101"/>
    <mergeCell ref="A102:C102"/>
    <mergeCell ref="A103:C103"/>
    <mergeCell ref="A104:C104"/>
    <mergeCell ref="A105:C105"/>
    <mergeCell ref="A109:F109"/>
    <mergeCell ref="A113:C113"/>
    <mergeCell ref="A114:C114"/>
    <mergeCell ref="A115:C115"/>
    <mergeCell ref="A116:C116"/>
    <mergeCell ref="A117:C117"/>
    <mergeCell ref="A121:F121"/>
    <mergeCell ref="A125:C125"/>
    <mergeCell ref="A126:C126"/>
    <mergeCell ref="A127:C127"/>
    <mergeCell ref="A128:C128"/>
    <mergeCell ref="A129:C129"/>
    <mergeCell ref="A133:F133"/>
    <mergeCell ref="A137:C137"/>
    <mergeCell ref="A138:C138"/>
    <mergeCell ref="A139:C139"/>
    <mergeCell ref="A140:C140"/>
    <mergeCell ref="A141:C141"/>
    <mergeCell ref="A145:F145"/>
    <mergeCell ref="A149:C149"/>
    <mergeCell ref="A150:C150"/>
    <mergeCell ref="A151:C151"/>
    <mergeCell ref="A152:C152"/>
    <mergeCell ref="A153:C153"/>
    <mergeCell ref="A157:F157"/>
    <mergeCell ref="A161:C161"/>
    <mergeCell ref="A162:C162"/>
    <mergeCell ref="A163:C163"/>
    <mergeCell ref="A164:C164"/>
    <mergeCell ref="A165:C165"/>
    <mergeCell ref="A170:F170"/>
    <mergeCell ref="A174:C174"/>
    <mergeCell ref="A175:C175"/>
    <mergeCell ref="A176:C176"/>
    <mergeCell ref="A177:C177"/>
    <mergeCell ref="A178:C178"/>
    <mergeCell ref="A184:F184"/>
    <mergeCell ref="A217:C217"/>
    <mergeCell ref="A218:C218"/>
    <mergeCell ref="A219:C219"/>
    <mergeCell ref="A225:F225"/>
    <mergeCell ref="A229:C229"/>
    <mergeCell ref="A230:C230"/>
    <mergeCell ref="A231:C2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25"/>
    <col customWidth="1" min="2" max="2" width="50.88"/>
    <col customWidth="1" min="3" max="3" width="11.0"/>
    <col customWidth="1" min="4" max="4" width="22.38"/>
    <col customWidth="1" min="5" max="5" width="12.5"/>
    <col customWidth="1" min="6" max="6" width="22.5"/>
  </cols>
  <sheetData>
    <row r="1">
      <c r="A1" s="2" t="s">
        <v>37</v>
      </c>
    </row>
    <row r="2">
      <c r="A2" s="5"/>
      <c r="B2" s="5"/>
      <c r="C2" s="5"/>
      <c r="D2" s="5"/>
      <c r="E2" s="5"/>
      <c r="F2" s="5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15" t="s">
        <v>39</v>
      </c>
      <c r="C4" s="19">
        <v>45444.0</v>
      </c>
      <c r="D4" s="22">
        <v>3875.12</v>
      </c>
      <c r="E4" s="25"/>
      <c r="F4" s="28"/>
    </row>
    <row r="5">
      <c r="A5" s="30" t="s">
        <v>21</v>
      </c>
      <c r="B5" s="31"/>
      <c r="C5" s="32"/>
      <c r="D5" s="24">
        <f>round(D4*(1+5.26%),2)</f>
        <v>4078.95</v>
      </c>
      <c r="E5" s="38"/>
      <c r="F5" s="28"/>
    </row>
    <row r="6">
      <c r="A6" s="30" t="s">
        <v>34</v>
      </c>
      <c r="B6" s="31"/>
      <c r="C6" s="32"/>
      <c r="D6" s="24">
        <f>round(D5*12%,2)</f>
        <v>489.47</v>
      </c>
      <c r="E6" s="38"/>
      <c r="F6" s="28"/>
    </row>
    <row r="7">
      <c r="A7" s="33" t="s">
        <v>9</v>
      </c>
      <c r="B7" s="31"/>
      <c r="C7" s="32"/>
      <c r="D7" s="39">
        <f>D5-D6</f>
        <v>3589.48</v>
      </c>
      <c r="E7" s="46">
        <v>25473.0</v>
      </c>
      <c r="F7" s="41">
        <f>D7*E7</f>
        <v>91434824.04</v>
      </c>
    </row>
    <row r="8">
      <c r="A8" s="33" t="s">
        <v>26</v>
      </c>
      <c r="B8" s="31"/>
      <c r="C8" s="32"/>
      <c r="D8" s="39"/>
      <c r="E8" s="46"/>
      <c r="F8" s="41">
        <f>round(F7*10%,0)</f>
        <v>9143482</v>
      </c>
    </row>
    <row r="9">
      <c r="A9" s="33" t="s">
        <v>16</v>
      </c>
      <c r="B9" s="31"/>
      <c r="C9" s="32"/>
      <c r="D9" s="39"/>
      <c r="E9" s="46"/>
      <c r="F9" s="41">
        <f>F7+F8</f>
        <v>100578306</v>
      </c>
    </row>
    <row r="13">
      <c r="A13" s="2" t="s">
        <v>37</v>
      </c>
    </row>
    <row r="14">
      <c r="A14" s="5"/>
      <c r="B14" s="5"/>
      <c r="C14" s="5"/>
      <c r="D14" s="5"/>
      <c r="E14" s="5"/>
      <c r="F14" s="5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>
      <c r="A16" s="13">
        <v>1.0</v>
      </c>
      <c r="B16" s="15" t="s">
        <v>39</v>
      </c>
      <c r="C16" s="19">
        <v>45474.0</v>
      </c>
      <c r="D16" s="22">
        <v>3590.6</v>
      </c>
      <c r="E16" s="25"/>
      <c r="F16" s="28"/>
    </row>
    <row r="17">
      <c r="A17" s="30" t="s">
        <v>21</v>
      </c>
      <c r="B17" s="31"/>
      <c r="C17" s="32"/>
      <c r="D17" s="24">
        <f>round(D16*(1+5.26%),2)</f>
        <v>3779.47</v>
      </c>
      <c r="E17" s="38"/>
      <c r="F17" s="28"/>
    </row>
    <row r="18">
      <c r="A18" s="30" t="s">
        <v>34</v>
      </c>
      <c r="B18" s="31"/>
      <c r="C18" s="32"/>
      <c r="D18" s="24">
        <f>round(D17*12%,2)</f>
        <v>453.54</v>
      </c>
      <c r="E18" s="38"/>
      <c r="F18" s="28"/>
    </row>
    <row r="19">
      <c r="A19" s="33" t="s">
        <v>9</v>
      </c>
      <c r="B19" s="31"/>
      <c r="C19" s="32"/>
      <c r="D19" s="39">
        <f>D17-D18</f>
        <v>3325.93</v>
      </c>
      <c r="E19" s="46">
        <v>25405.0</v>
      </c>
      <c r="F19" s="41">
        <f>D19*E19</f>
        <v>84495251.65</v>
      </c>
    </row>
    <row r="20">
      <c r="A20" s="33" t="s">
        <v>26</v>
      </c>
      <c r="B20" s="31"/>
      <c r="C20" s="32"/>
      <c r="D20" s="39"/>
      <c r="E20" s="46"/>
      <c r="F20" s="41">
        <f>round(F19*10%,0)</f>
        <v>8449525</v>
      </c>
    </row>
    <row r="21">
      <c r="A21" s="33" t="s">
        <v>16</v>
      </c>
      <c r="B21" s="31"/>
      <c r="C21" s="32"/>
      <c r="D21" s="39"/>
      <c r="E21" s="46"/>
      <c r="F21" s="41">
        <f>F19+F20</f>
        <v>92944776.65</v>
      </c>
    </row>
    <row r="25">
      <c r="A25" s="2" t="s">
        <v>37</v>
      </c>
    </row>
    <row r="26">
      <c r="A26" s="5"/>
      <c r="B26" s="5"/>
      <c r="C26" s="5"/>
      <c r="D26" s="5"/>
      <c r="E26" s="5"/>
      <c r="F26" s="5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</row>
    <row r="28">
      <c r="A28" s="13">
        <v>1.0</v>
      </c>
      <c r="B28" s="15" t="s">
        <v>39</v>
      </c>
      <c r="C28" s="19">
        <v>45505.0</v>
      </c>
      <c r="D28" s="22">
        <v>3541.45</v>
      </c>
      <c r="E28" s="25"/>
      <c r="F28" s="28"/>
    </row>
    <row r="29">
      <c r="A29" s="30" t="s">
        <v>21</v>
      </c>
      <c r="B29" s="31"/>
      <c r="C29" s="32"/>
      <c r="D29" s="24">
        <f>round(D28*(1+5.26%),2)</f>
        <v>3727.73</v>
      </c>
      <c r="E29" s="38"/>
      <c r="F29" s="28"/>
    </row>
    <row r="30">
      <c r="A30" s="30" t="s">
        <v>34</v>
      </c>
      <c r="B30" s="31"/>
      <c r="C30" s="32"/>
      <c r="D30" s="24">
        <f>round(D29*12%,2)</f>
        <v>447.33</v>
      </c>
      <c r="E30" s="38"/>
      <c r="F30" s="28"/>
    </row>
    <row r="31">
      <c r="A31" s="33" t="s">
        <v>9</v>
      </c>
      <c r="B31" s="31"/>
      <c r="C31" s="32"/>
      <c r="D31" s="39">
        <f>D29-D30</f>
        <v>3280.4</v>
      </c>
      <c r="E31" s="46">
        <v>25080.0</v>
      </c>
      <c r="F31" s="41">
        <f>D31*E31</f>
        <v>82272432</v>
      </c>
    </row>
    <row r="32">
      <c r="A32" s="33" t="s">
        <v>26</v>
      </c>
      <c r="B32" s="31"/>
      <c r="C32" s="32"/>
      <c r="D32" s="39"/>
      <c r="E32" s="46"/>
      <c r="F32" s="41">
        <f>round(F31*10%,0)</f>
        <v>8227243</v>
      </c>
    </row>
    <row r="33">
      <c r="A33" s="33" t="s">
        <v>16</v>
      </c>
      <c r="B33" s="31"/>
      <c r="C33" s="32"/>
      <c r="D33" s="39"/>
      <c r="E33" s="46"/>
      <c r="F33" s="41">
        <f>F31+F32</f>
        <v>90499675</v>
      </c>
    </row>
    <row r="37">
      <c r="A37" s="2" t="s">
        <v>37</v>
      </c>
    </row>
    <row r="38">
      <c r="A38" s="5"/>
      <c r="B38" s="5"/>
      <c r="C38" s="5"/>
      <c r="D38" s="5"/>
      <c r="E38" s="5"/>
      <c r="F38" s="5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</row>
    <row r="40">
      <c r="A40" s="13">
        <v>1.0</v>
      </c>
      <c r="B40" s="15" t="s">
        <v>39</v>
      </c>
      <c r="C40" s="19">
        <v>45536.0</v>
      </c>
      <c r="D40" s="22">
        <v>3496.77</v>
      </c>
      <c r="E40" s="25"/>
      <c r="F40" s="28"/>
    </row>
    <row r="41">
      <c r="A41" s="30" t="s">
        <v>21</v>
      </c>
      <c r="B41" s="31"/>
      <c r="C41" s="32"/>
      <c r="D41" s="24">
        <f>round(D40*(1+5.26%),2)</f>
        <v>3680.7</v>
      </c>
      <c r="E41" s="38"/>
      <c r="F41" s="28"/>
    </row>
    <row r="42">
      <c r="A42" s="30" t="s">
        <v>34</v>
      </c>
      <c r="B42" s="31"/>
      <c r="C42" s="32"/>
      <c r="D42" s="24">
        <f>round(D41*12%,2)</f>
        <v>441.68</v>
      </c>
      <c r="E42" s="38"/>
      <c r="F42" s="28"/>
    </row>
    <row r="43">
      <c r="A43" s="33" t="s">
        <v>9</v>
      </c>
      <c r="B43" s="31"/>
      <c r="C43" s="32"/>
      <c r="D43" s="39">
        <f>D41-D42</f>
        <v>3239.02</v>
      </c>
      <c r="E43" s="46">
        <v>24733.0</v>
      </c>
      <c r="F43" s="41">
        <f>D43*E43</f>
        <v>80110681.66</v>
      </c>
    </row>
    <row r="44">
      <c r="A44" s="33" t="s">
        <v>26</v>
      </c>
      <c r="B44" s="31"/>
      <c r="C44" s="32"/>
      <c r="D44" s="39"/>
      <c r="E44" s="46"/>
      <c r="F44" s="41">
        <f>round(F43*10%,0)</f>
        <v>8011068</v>
      </c>
    </row>
    <row r="45">
      <c r="A45" s="33" t="s">
        <v>16</v>
      </c>
      <c r="B45" s="31"/>
      <c r="C45" s="32"/>
      <c r="D45" s="39"/>
      <c r="E45" s="46"/>
      <c r="F45" s="41">
        <f>F43+F44</f>
        <v>88121749.66</v>
      </c>
    </row>
    <row r="49">
      <c r="A49" s="2" t="s">
        <v>37</v>
      </c>
    </row>
    <row r="50">
      <c r="A50" s="5"/>
      <c r="B50" s="5"/>
      <c r="C50" s="5"/>
      <c r="D50" s="5"/>
      <c r="E50" s="5"/>
      <c r="F50" s="5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</row>
    <row r="52">
      <c r="A52" s="13">
        <v>1.0</v>
      </c>
      <c r="B52" s="15" t="s">
        <v>39</v>
      </c>
      <c r="C52" s="19">
        <v>45566.0</v>
      </c>
      <c r="D52" s="22">
        <v>3505.34</v>
      </c>
      <c r="E52" s="25"/>
      <c r="F52" s="28"/>
    </row>
    <row r="53">
      <c r="A53" s="30" t="s">
        <v>21</v>
      </c>
      <c r="B53" s="31"/>
      <c r="C53" s="32"/>
      <c r="D53" s="24">
        <f>round(D52*(1+5.26%),2)</f>
        <v>3689.72</v>
      </c>
      <c r="E53" s="38"/>
      <c r="F53" s="28"/>
    </row>
    <row r="54">
      <c r="A54" s="30" t="s">
        <v>34</v>
      </c>
      <c r="B54" s="31"/>
      <c r="C54" s="32"/>
      <c r="D54" s="24">
        <f>round(D53*12%,2)</f>
        <v>442.77</v>
      </c>
      <c r="E54" s="38"/>
      <c r="F54" s="28"/>
    </row>
    <row r="55">
      <c r="A55" s="33" t="s">
        <v>9</v>
      </c>
      <c r="B55" s="31"/>
      <c r="C55" s="32"/>
      <c r="D55" s="39">
        <f>D53-D54</f>
        <v>3246.95</v>
      </c>
      <c r="E55" s="46">
        <v>25445.0</v>
      </c>
      <c r="F55" s="41">
        <f>D55*E55</f>
        <v>82618642.75</v>
      </c>
    </row>
    <row r="56">
      <c r="A56" s="33" t="s">
        <v>26</v>
      </c>
      <c r="B56" s="31"/>
      <c r="C56" s="32"/>
      <c r="D56" s="39"/>
      <c r="E56" s="46"/>
      <c r="F56" s="41">
        <f>round(F55*10%,0)</f>
        <v>8261864</v>
      </c>
    </row>
    <row r="57">
      <c r="A57" s="33" t="s">
        <v>16</v>
      </c>
      <c r="B57" s="31"/>
      <c r="C57" s="32"/>
      <c r="D57" s="39"/>
      <c r="E57" s="46"/>
      <c r="F57" s="41">
        <f>F55+F56</f>
        <v>90880506.75</v>
      </c>
    </row>
    <row r="61">
      <c r="A61" s="2" t="s">
        <v>37</v>
      </c>
    </row>
    <row r="62">
      <c r="A62" s="5"/>
      <c r="B62" s="5"/>
      <c r="C62" s="5"/>
      <c r="D62" s="5"/>
      <c r="E62" s="5"/>
      <c r="F62" s="5"/>
    </row>
    <row r="63">
      <c r="A63" s="9" t="s">
        <v>4</v>
      </c>
      <c r="B63" s="9" t="s">
        <v>5</v>
      </c>
      <c r="C63" s="9" t="s">
        <v>6</v>
      </c>
      <c r="D63" s="9" t="s">
        <v>7</v>
      </c>
      <c r="E63" s="9" t="s">
        <v>8</v>
      </c>
      <c r="F63" s="9" t="s">
        <v>9</v>
      </c>
    </row>
    <row r="64">
      <c r="A64" s="13">
        <v>1.0</v>
      </c>
      <c r="B64" s="15" t="s">
        <v>39</v>
      </c>
      <c r="C64" s="19">
        <v>45597.0</v>
      </c>
      <c r="D64" s="22">
        <v>3036.97</v>
      </c>
      <c r="E64" s="25"/>
      <c r="F64" s="28"/>
    </row>
    <row r="65">
      <c r="A65" s="30" t="s">
        <v>21</v>
      </c>
      <c r="B65" s="31"/>
      <c r="C65" s="32"/>
      <c r="D65" s="24">
        <f>round(D64*(1+5.26%),2)</f>
        <v>3196.71</v>
      </c>
      <c r="E65" s="38"/>
      <c r="F65" s="28"/>
    </row>
    <row r="66">
      <c r="A66" s="30" t="s">
        <v>34</v>
      </c>
      <c r="B66" s="31"/>
      <c r="C66" s="32"/>
      <c r="D66" s="24">
        <f>round(D65*12%,2)</f>
        <v>383.61</v>
      </c>
      <c r="E66" s="38"/>
      <c r="F66" s="28"/>
    </row>
    <row r="67">
      <c r="A67" s="33" t="s">
        <v>9</v>
      </c>
      <c r="B67" s="31"/>
      <c r="C67" s="32"/>
      <c r="D67" s="39">
        <f>D65-D66</f>
        <v>2813.1</v>
      </c>
      <c r="E67" s="46">
        <v>25463.0</v>
      </c>
      <c r="F67" s="41">
        <f>D67*E67</f>
        <v>71629965.3</v>
      </c>
    </row>
    <row r="68">
      <c r="A68" s="33" t="s">
        <v>26</v>
      </c>
      <c r="B68" s="31"/>
      <c r="C68" s="32"/>
      <c r="D68" s="39"/>
      <c r="E68" s="46"/>
      <c r="F68" s="41">
        <f>round(F67*10%,0)</f>
        <v>7162997</v>
      </c>
    </row>
    <row r="69">
      <c r="A69" s="33" t="s">
        <v>16</v>
      </c>
      <c r="B69" s="31"/>
      <c r="C69" s="32"/>
      <c r="D69" s="39"/>
      <c r="E69" s="46"/>
      <c r="F69" s="41">
        <f>F67+F68</f>
        <v>78792962.3</v>
      </c>
    </row>
    <row r="73">
      <c r="A73" s="2" t="s">
        <v>44</v>
      </c>
    </row>
    <row r="74">
      <c r="A74" s="5"/>
      <c r="B74" s="5"/>
      <c r="C74" s="5"/>
      <c r="D74" s="5"/>
      <c r="E74" s="5"/>
      <c r="F74" s="5"/>
    </row>
    <row r="75">
      <c r="A75" s="9" t="s">
        <v>4</v>
      </c>
      <c r="B75" s="9" t="s">
        <v>5</v>
      </c>
      <c r="C75" s="9" t="s">
        <v>6</v>
      </c>
      <c r="D75" s="9" t="s">
        <v>7</v>
      </c>
      <c r="E75" s="9" t="s">
        <v>8</v>
      </c>
      <c r="F75" s="9" t="s">
        <v>9</v>
      </c>
    </row>
    <row r="76">
      <c r="A76" s="13">
        <v>1.0</v>
      </c>
      <c r="B76" s="15" t="s">
        <v>39</v>
      </c>
      <c r="C76" s="19">
        <v>45627.0</v>
      </c>
      <c r="D76" s="22">
        <v>3071.64</v>
      </c>
      <c r="E76" s="25"/>
      <c r="F76" s="28"/>
    </row>
    <row r="77">
      <c r="A77" s="30" t="s">
        <v>21</v>
      </c>
      <c r="B77" s="31"/>
      <c r="C77" s="32"/>
      <c r="D77" s="24">
        <f>round(D76*(1+5.26%),2)</f>
        <v>3233.21</v>
      </c>
      <c r="E77" s="38"/>
      <c r="F77" s="28"/>
    </row>
    <row r="78">
      <c r="A78" s="30" t="s">
        <v>34</v>
      </c>
      <c r="B78" s="31"/>
      <c r="C78" s="32"/>
      <c r="D78" s="24">
        <f>round(D77*12%,2)</f>
        <v>387.99</v>
      </c>
      <c r="E78" s="38"/>
      <c r="F78" s="28"/>
    </row>
    <row r="79">
      <c r="A79" s="33" t="s">
        <v>9</v>
      </c>
      <c r="B79" s="31"/>
      <c r="C79" s="32"/>
      <c r="D79" s="39">
        <f>D77-D78</f>
        <v>2845.22</v>
      </c>
      <c r="E79" s="46">
        <v>25551.0</v>
      </c>
      <c r="F79" s="41">
        <f>D79*E79</f>
        <v>72698216.22</v>
      </c>
    </row>
    <row r="80">
      <c r="A80" s="33" t="s">
        <v>26</v>
      </c>
      <c r="B80" s="31"/>
      <c r="C80" s="32"/>
      <c r="D80" s="39"/>
      <c r="E80" s="46"/>
      <c r="F80" s="41">
        <f>round(F79*10%,0)</f>
        <v>7269822</v>
      </c>
    </row>
    <row r="81">
      <c r="A81" s="33" t="s">
        <v>16</v>
      </c>
      <c r="B81" s="31"/>
      <c r="C81" s="32"/>
      <c r="D81" s="39"/>
      <c r="E81" s="46"/>
      <c r="F81" s="41">
        <f>F79+F80</f>
        <v>79968038.22</v>
      </c>
    </row>
    <row r="85">
      <c r="A85" s="2" t="s">
        <v>44</v>
      </c>
    </row>
    <row r="86">
      <c r="A86" s="5"/>
      <c r="B86" s="5"/>
      <c r="C86" s="5"/>
      <c r="D86" s="5"/>
      <c r="E86" s="5"/>
      <c r="F86" s="5"/>
    </row>
    <row r="87">
      <c r="A87" s="9" t="s">
        <v>4</v>
      </c>
      <c r="B87" s="9" t="s">
        <v>5</v>
      </c>
      <c r="C87" s="9" t="s">
        <v>6</v>
      </c>
      <c r="D87" s="9" t="s">
        <v>7</v>
      </c>
      <c r="E87" s="9" t="s">
        <v>8</v>
      </c>
      <c r="F87" s="9" t="s">
        <v>9</v>
      </c>
    </row>
    <row r="88">
      <c r="A88" s="13">
        <v>1.0</v>
      </c>
      <c r="B88" s="15" t="s">
        <v>39</v>
      </c>
      <c r="C88" s="19">
        <v>45658.0</v>
      </c>
      <c r="D88" s="22">
        <v>3038.19</v>
      </c>
      <c r="E88" s="25"/>
      <c r="F88" s="28"/>
    </row>
    <row r="89">
      <c r="A89" s="30" t="s">
        <v>21</v>
      </c>
      <c r="B89" s="31"/>
      <c r="C89" s="32"/>
      <c r="D89" s="24">
        <f>round(D88*(1+5.26%),2)</f>
        <v>3198</v>
      </c>
      <c r="E89" s="38"/>
      <c r="F89" s="28"/>
    </row>
    <row r="90">
      <c r="A90" s="30" t="s">
        <v>34</v>
      </c>
      <c r="B90" s="31"/>
      <c r="C90" s="32"/>
      <c r="D90" s="24">
        <f>round(D89*12%,2)</f>
        <v>383.76</v>
      </c>
      <c r="E90" s="38"/>
      <c r="F90" s="28"/>
    </row>
    <row r="91">
      <c r="A91" s="33" t="s">
        <v>9</v>
      </c>
      <c r="B91" s="31"/>
      <c r="C91" s="32"/>
      <c r="D91" s="39">
        <f>D89-D90</f>
        <v>2814.24</v>
      </c>
      <c r="E91" s="46">
        <v>25295.0</v>
      </c>
      <c r="F91" s="41">
        <f>D91*E91</f>
        <v>71186200.8</v>
      </c>
    </row>
    <row r="92">
      <c r="A92" s="33" t="s">
        <v>26</v>
      </c>
      <c r="B92" s="31"/>
      <c r="C92" s="32"/>
      <c r="D92" s="39"/>
      <c r="E92" s="46"/>
      <c r="F92" s="41">
        <f>round(F91*10%,0)</f>
        <v>7118620</v>
      </c>
    </row>
    <row r="93">
      <c r="A93" s="33" t="s">
        <v>16</v>
      </c>
      <c r="B93" s="31"/>
      <c r="C93" s="32"/>
      <c r="D93" s="39"/>
      <c r="E93" s="46"/>
      <c r="F93" s="41">
        <f>F91+F92</f>
        <v>78304820.8</v>
      </c>
    </row>
    <row r="97">
      <c r="A97" s="2" t="s">
        <v>44</v>
      </c>
    </row>
    <row r="98">
      <c r="A98" s="5"/>
      <c r="B98" s="5"/>
      <c r="C98" s="5"/>
      <c r="D98" s="5"/>
      <c r="E98" s="5"/>
      <c r="F98" s="5"/>
    </row>
    <row r="99">
      <c r="A99" s="9" t="s">
        <v>4</v>
      </c>
      <c r="B99" s="9" t="s">
        <v>5</v>
      </c>
      <c r="C99" s="9" t="s">
        <v>6</v>
      </c>
      <c r="D99" s="9" t="s">
        <v>7</v>
      </c>
      <c r="E99" s="9" t="s">
        <v>8</v>
      </c>
      <c r="F99" s="9" t="s">
        <v>9</v>
      </c>
    </row>
    <row r="100">
      <c r="A100" s="13">
        <v>1.0</v>
      </c>
      <c r="B100" s="15" t="s">
        <v>39</v>
      </c>
      <c r="C100" s="19">
        <v>45689.0</v>
      </c>
      <c r="D100" s="22">
        <v>2851.77</v>
      </c>
      <c r="E100" s="25"/>
      <c r="F100" s="28"/>
    </row>
    <row r="101">
      <c r="A101" s="30" t="s">
        <v>21</v>
      </c>
      <c r="B101" s="31"/>
      <c r="C101" s="32"/>
      <c r="D101" s="24">
        <f>round(D100*(1+5.26%),2)</f>
        <v>3001.77</v>
      </c>
      <c r="E101" s="38"/>
      <c r="F101" s="28"/>
    </row>
    <row r="102">
      <c r="A102" s="30" t="s">
        <v>34</v>
      </c>
      <c r="B102" s="31"/>
      <c r="C102" s="32"/>
      <c r="D102" s="24">
        <f>round(D101*12%,2)</f>
        <v>360.21</v>
      </c>
      <c r="E102" s="38"/>
      <c r="F102" s="28"/>
    </row>
    <row r="103">
      <c r="A103" s="33" t="s">
        <v>9</v>
      </c>
      <c r="B103" s="31"/>
      <c r="C103" s="32"/>
      <c r="D103" s="39">
        <f>D101-D102</f>
        <v>2641.56</v>
      </c>
      <c r="E103" s="46">
        <v>25735.0</v>
      </c>
      <c r="F103" s="41">
        <f>D103*E103</f>
        <v>67980546.6</v>
      </c>
    </row>
    <row r="104">
      <c r="A104" s="33" t="s">
        <v>26</v>
      </c>
      <c r="B104" s="31"/>
      <c r="C104" s="32"/>
      <c r="D104" s="39"/>
      <c r="E104" s="46"/>
      <c r="F104" s="41">
        <f>round(F103*10%,0)</f>
        <v>6798055</v>
      </c>
    </row>
    <row r="105">
      <c r="A105" s="33" t="s">
        <v>16</v>
      </c>
      <c r="B105" s="31"/>
      <c r="C105" s="32"/>
      <c r="D105" s="39"/>
      <c r="E105" s="46"/>
      <c r="F105" s="41">
        <f>F103+F104</f>
        <v>74778601.6</v>
      </c>
    </row>
    <row r="109">
      <c r="A109" s="2" t="s">
        <v>44</v>
      </c>
    </row>
    <row r="110">
      <c r="A110" s="5"/>
      <c r="B110" s="5"/>
      <c r="C110" s="5"/>
      <c r="D110" s="5"/>
      <c r="E110" s="5"/>
      <c r="F110" s="5"/>
    </row>
    <row r="111">
      <c r="A111" s="9" t="s">
        <v>4</v>
      </c>
      <c r="B111" s="9" t="s">
        <v>5</v>
      </c>
      <c r="C111" s="9" t="s">
        <v>6</v>
      </c>
      <c r="D111" s="9" t="s">
        <v>7</v>
      </c>
      <c r="E111" s="9" t="s">
        <v>8</v>
      </c>
      <c r="F111" s="9" t="s">
        <v>9</v>
      </c>
    </row>
    <row r="112">
      <c r="A112" s="13">
        <v>1.0</v>
      </c>
      <c r="B112" s="15" t="s">
        <v>39</v>
      </c>
      <c r="C112" s="19">
        <v>45717.0</v>
      </c>
      <c r="D112" s="22">
        <v>2851.83</v>
      </c>
      <c r="E112" s="25"/>
      <c r="F112" s="28"/>
    </row>
    <row r="113">
      <c r="A113" s="30" t="s">
        <v>21</v>
      </c>
      <c r="B113" s="31"/>
      <c r="C113" s="32"/>
      <c r="D113" s="24">
        <f>round(D112*(1+5.26%),2)</f>
        <v>3001.84</v>
      </c>
      <c r="E113" s="38"/>
      <c r="F113" s="28"/>
    </row>
    <row r="114">
      <c r="A114" s="30" t="s">
        <v>34</v>
      </c>
      <c r="B114" s="31"/>
      <c r="C114" s="32"/>
      <c r="D114" s="24">
        <f>round(D113*12%,2)</f>
        <v>360.22</v>
      </c>
      <c r="E114" s="38"/>
      <c r="F114" s="28"/>
    </row>
    <row r="115">
      <c r="A115" s="33" t="s">
        <v>9</v>
      </c>
      <c r="B115" s="31"/>
      <c r="C115" s="32"/>
      <c r="D115" s="39">
        <f>D113-D114</f>
        <v>2641.62</v>
      </c>
      <c r="E115" s="46">
        <v>25775.0</v>
      </c>
      <c r="F115" s="41">
        <f>D115*E115</f>
        <v>68087755.5</v>
      </c>
    </row>
    <row r="116">
      <c r="A116" s="33" t="s">
        <v>26</v>
      </c>
      <c r="B116" s="31"/>
      <c r="C116" s="32"/>
      <c r="D116" s="39"/>
      <c r="E116" s="46"/>
      <c r="F116" s="41">
        <f>round(F115*10%,0)</f>
        <v>6808776</v>
      </c>
    </row>
    <row r="117">
      <c r="A117" s="33" t="s">
        <v>16</v>
      </c>
      <c r="B117" s="31"/>
      <c r="C117" s="32"/>
      <c r="D117" s="39"/>
      <c r="E117" s="46"/>
      <c r="F117" s="41">
        <f>F115+F116</f>
        <v>74896531.5</v>
      </c>
    </row>
    <row r="121">
      <c r="A121" s="2" t="s">
        <v>44</v>
      </c>
    </row>
    <row r="122">
      <c r="A122" s="5"/>
      <c r="B122" s="5"/>
      <c r="C122" s="5"/>
      <c r="D122" s="5"/>
      <c r="E122" s="5"/>
      <c r="F122" s="5"/>
    </row>
    <row r="123">
      <c r="A123" s="9" t="s">
        <v>4</v>
      </c>
      <c r="B123" s="9" t="s">
        <v>5</v>
      </c>
      <c r="C123" s="9" t="s">
        <v>6</v>
      </c>
      <c r="D123" s="9" t="s">
        <v>7</v>
      </c>
      <c r="E123" s="9" t="s">
        <v>8</v>
      </c>
      <c r="F123" s="9" t="s">
        <v>9</v>
      </c>
    </row>
    <row r="124">
      <c r="A124" s="13">
        <v>1.0</v>
      </c>
      <c r="B124" s="15" t="s">
        <v>39</v>
      </c>
      <c r="C124" s="19">
        <v>45748.0</v>
      </c>
      <c r="D124" s="22">
        <v>2851.77</v>
      </c>
      <c r="E124" s="25"/>
      <c r="F124" s="28"/>
    </row>
    <row r="125">
      <c r="A125" s="30" t="s">
        <v>21</v>
      </c>
      <c r="B125" s="31"/>
      <c r="C125" s="32"/>
      <c r="D125" s="24">
        <f>round(D124*(1+5.26%),2)</f>
        <v>3001.77</v>
      </c>
      <c r="E125" s="38"/>
      <c r="F125" s="28"/>
    </row>
    <row r="126">
      <c r="A126" s="30" t="s">
        <v>34</v>
      </c>
      <c r="B126" s="31"/>
      <c r="C126" s="32"/>
      <c r="D126" s="24">
        <f>round(D125*12%,2)</f>
        <v>360.21</v>
      </c>
      <c r="E126" s="38"/>
      <c r="F126" s="28"/>
    </row>
    <row r="127">
      <c r="A127" s="33" t="s">
        <v>9</v>
      </c>
      <c r="B127" s="31"/>
      <c r="C127" s="32"/>
      <c r="D127" s="39">
        <f>D125-D126</f>
        <v>2641.56</v>
      </c>
      <c r="E127" s="46">
        <v>26190.0</v>
      </c>
      <c r="F127" s="41">
        <f>D127*E127</f>
        <v>69182456.4</v>
      </c>
    </row>
    <row r="128">
      <c r="A128" s="33" t="s">
        <v>26</v>
      </c>
      <c r="B128" s="31"/>
      <c r="C128" s="32"/>
      <c r="D128" s="39"/>
      <c r="E128" s="46"/>
      <c r="F128" s="41">
        <f>round(F127*10%,0)</f>
        <v>6918246</v>
      </c>
    </row>
    <row r="129">
      <c r="A129" s="33" t="s">
        <v>16</v>
      </c>
      <c r="B129" s="31"/>
      <c r="C129" s="32"/>
      <c r="D129" s="39"/>
      <c r="E129" s="46"/>
      <c r="F129" s="41">
        <f>F127+F128</f>
        <v>76100702.4</v>
      </c>
    </row>
    <row r="133">
      <c r="A133" s="2" t="s">
        <v>44</v>
      </c>
    </row>
    <row r="134">
      <c r="A134" s="5"/>
      <c r="B134" s="5"/>
      <c r="C134" s="5"/>
      <c r="D134" s="5"/>
      <c r="E134" s="5"/>
      <c r="F134" s="5"/>
    </row>
    <row r="135">
      <c r="A135" s="9" t="s">
        <v>4</v>
      </c>
      <c r="B135" s="9" t="s">
        <v>5</v>
      </c>
      <c r="C135" s="9" t="s">
        <v>6</v>
      </c>
      <c r="D135" s="9" t="s">
        <v>7</v>
      </c>
      <c r="E135" s="9" t="s">
        <v>8</v>
      </c>
      <c r="F135" s="9" t="s">
        <v>9</v>
      </c>
    </row>
    <row r="136">
      <c r="A136" s="13">
        <v>1.0</v>
      </c>
      <c r="B136" s="15" t="s">
        <v>39</v>
      </c>
      <c r="C136" s="19">
        <v>45778.0</v>
      </c>
      <c r="D136" s="22">
        <v>2820.2</v>
      </c>
      <c r="E136" s="25"/>
      <c r="F136" s="28"/>
    </row>
    <row r="137">
      <c r="A137" s="30" t="s">
        <v>21</v>
      </c>
      <c r="B137" s="31"/>
      <c r="C137" s="32"/>
      <c r="D137" s="24">
        <f>round(D136*(1+5.26%),2)</f>
        <v>2968.54</v>
      </c>
      <c r="E137" s="38"/>
      <c r="F137" s="28"/>
    </row>
    <row r="138">
      <c r="A138" s="30" t="s">
        <v>34</v>
      </c>
      <c r="B138" s="31"/>
      <c r="C138" s="32"/>
      <c r="D138" s="24">
        <f>round(D137*12%,2)</f>
        <v>356.22</v>
      </c>
      <c r="E138" s="38"/>
      <c r="F138" s="28"/>
    </row>
    <row r="139">
      <c r="A139" s="33" t="s">
        <v>9</v>
      </c>
      <c r="B139" s="31"/>
      <c r="C139" s="32"/>
      <c r="D139" s="39">
        <f>D137-D138</f>
        <v>2612.32</v>
      </c>
      <c r="E139" s="46">
        <v>26225.0</v>
      </c>
      <c r="F139" s="41">
        <f>D139*E139</f>
        <v>68508092</v>
      </c>
    </row>
    <row r="140">
      <c r="A140" s="33" t="s">
        <v>26</v>
      </c>
      <c r="B140" s="31"/>
      <c r="C140" s="32"/>
      <c r="D140" s="39"/>
      <c r="E140" s="46"/>
      <c r="F140" s="41">
        <f>round(F139*10%,0)</f>
        <v>6850809</v>
      </c>
    </row>
    <row r="141">
      <c r="A141" s="33" t="s">
        <v>16</v>
      </c>
      <c r="B141" s="31"/>
      <c r="C141" s="32"/>
      <c r="D141" s="39"/>
      <c r="E141" s="46"/>
      <c r="F141" s="41">
        <f>F139+F140</f>
        <v>75358901</v>
      </c>
    </row>
    <row r="145">
      <c r="A145" s="2" t="s">
        <v>44</v>
      </c>
    </row>
    <row r="146">
      <c r="A146" s="5"/>
      <c r="B146" s="5"/>
      <c r="C146" s="5"/>
      <c r="D146" s="5"/>
      <c r="E146" s="5"/>
      <c r="F146" s="5"/>
    </row>
    <row r="147">
      <c r="A147" s="9" t="s">
        <v>4</v>
      </c>
      <c r="B147" s="9" t="s">
        <v>5</v>
      </c>
      <c r="C147" s="9" t="s">
        <v>6</v>
      </c>
      <c r="D147" s="9" t="s">
        <v>7</v>
      </c>
      <c r="E147" s="9" t="s">
        <v>8</v>
      </c>
      <c r="F147" s="9" t="s">
        <v>9</v>
      </c>
    </row>
    <row r="148">
      <c r="A148" s="13">
        <v>1.0</v>
      </c>
      <c r="B148" s="15" t="s">
        <v>39</v>
      </c>
      <c r="C148" s="19">
        <v>45809.0</v>
      </c>
      <c r="D148" s="22">
        <v>2803.77</v>
      </c>
      <c r="E148" s="25"/>
      <c r="F148" s="28"/>
    </row>
    <row r="149">
      <c r="A149" s="30" t="s">
        <v>21</v>
      </c>
      <c r="B149" s="31"/>
      <c r="C149" s="32"/>
      <c r="D149" s="24">
        <f>round(D148*(1+5.26%),2)</f>
        <v>2951.25</v>
      </c>
      <c r="E149" s="38"/>
      <c r="F149" s="28"/>
    </row>
    <row r="150">
      <c r="A150" s="30" t="s">
        <v>34</v>
      </c>
      <c r="B150" s="31"/>
      <c r="C150" s="32"/>
      <c r="D150" s="24">
        <f>round(D149*12%,2)</f>
        <v>354.15</v>
      </c>
      <c r="E150" s="38"/>
      <c r="F150" s="28"/>
    </row>
    <row r="151">
      <c r="A151" s="33" t="s">
        <v>9</v>
      </c>
      <c r="B151" s="31"/>
      <c r="C151" s="32"/>
      <c r="D151" s="39">
        <f>D149-D150</f>
        <v>2597.1</v>
      </c>
      <c r="E151" s="46">
        <v>26300.0</v>
      </c>
      <c r="F151" s="41">
        <f>D151*E151</f>
        <v>68303730</v>
      </c>
    </row>
    <row r="152">
      <c r="A152" s="33" t="s">
        <v>26</v>
      </c>
      <c r="B152" s="31"/>
      <c r="C152" s="32"/>
      <c r="D152" s="39"/>
      <c r="E152" s="46"/>
      <c r="F152" s="41">
        <f>round(F151*10%,0)</f>
        <v>6830373</v>
      </c>
    </row>
    <row r="153">
      <c r="A153" s="33" t="s">
        <v>16</v>
      </c>
      <c r="B153" s="31"/>
      <c r="C153" s="32"/>
      <c r="D153" s="39"/>
      <c r="E153" s="46"/>
      <c r="F153" s="41">
        <f>F151+F152</f>
        <v>75134103</v>
      </c>
    </row>
    <row r="157">
      <c r="A157" s="2" t="s">
        <v>44</v>
      </c>
    </row>
    <row r="158">
      <c r="A158" s="5"/>
      <c r="B158" s="5"/>
      <c r="C158" s="5"/>
      <c r="D158" s="5"/>
      <c r="E158" s="5"/>
      <c r="F158" s="5"/>
    </row>
    <row r="159">
      <c r="A159" s="9" t="s">
        <v>4</v>
      </c>
      <c r="B159" s="9" t="s">
        <v>5</v>
      </c>
      <c r="C159" s="9" t="s">
        <v>6</v>
      </c>
      <c r="D159" s="9" t="s">
        <v>7</v>
      </c>
      <c r="E159" s="9" t="s">
        <v>8</v>
      </c>
      <c r="F159" s="9" t="s">
        <v>9</v>
      </c>
    </row>
    <row r="160">
      <c r="A160" s="13">
        <v>1.0</v>
      </c>
      <c r="B160" s="15" t="s">
        <v>39</v>
      </c>
      <c r="C160" s="19">
        <v>45839.0</v>
      </c>
      <c r="D160" s="22">
        <v>2803.77</v>
      </c>
      <c r="E160" s="25"/>
      <c r="F160" s="28"/>
    </row>
    <row r="161">
      <c r="A161" s="30" t="s">
        <v>32</v>
      </c>
      <c r="B161" s="31"/>
      <c r="C161" s="32"/>
      <c r="D161" s="24">
        <f>round(D160*(1+10%),2)</f>
        <v>3084.15</v>
      </c>
      <c r="E161" s="38"/>
      <c r="F161" s="28"/>
    </row>
    <row r="162">
      <c r="A162" s="30" t="s">
        <v>34</v>
      </c>
      <c r="B162" s="31"/>
      <c r="C162" s="32"/>
      <c r="D162" s="24">
        <f>round(D161*12%,2)</f>
        <v>370.1</v>
      </c>
      <c r="E162" s="38"/>
      <c r="F162" s="28"/>
    </row>
    <row r="163">
      <c r="A163" s="33" t="s">
        <v>9</v>
      </c>
      <c r="B163" s="31"/>
      <c r="C163" s="32"/>
      <c r="D163" s="39">
        <f>D161-D162</f>
        <v>2714.05</v>
      </c>
      <c r="E163" s="46">
        <v>26382.0</v>
      </c>
      <c r="F163" s="41">
        <f>D163*E163</f>
        <v>71602067.1</v>
      </c>
    </row>
    <row r="164">
      <c r="A164" s="33" t="s">
        <v>26</v>
      </c>
      <c r="B164" s="31"/>
      <c r="C164" s="32"/>
      <c r="D164" s="39"/>
      <c r="E164" s="46"/>
      <c r="F164" s="41">
        <f>round(F163*10%,0)</f>
        <v>7160207</v>
      </c>
    </row>
    <row r="165">
      <c r="A165" s="33" t="s">
        <v>16</v>
      </c>
      <c r="B165" s="31"/>
      <c r="C165" s="32"/>
      <c r="D165" s="39"/>
      <c r="E165" s="46"/>
      <c r="F165" s="41">
        <f>F163+F164</f>
        <v>78762274.1</v>
      </c>
    </row>
    <row r="170">
      <c r="A170" s="2" t="s">
        <v>44</v>
      </c>
    </row>
    <row r="171">
      <c r="A171" s="5"/>
      <c r="B171" s="5"/>
      <c r="C171" s="5"/>
      <c r="D171" s="5"/>
      <c r="E171" s="5"/>
      <c r="F171" s="5"/>
    </row>
    <row r="172">
      <c r="A172" s="9" t="s">
        <v>4</v>
      </c>
      <c r="B172" s="9" t="s">
        <v>5</v>
      </c>
      <c r="C172" s="9" t="s">
        <v>6</v>
      </c>
      <c r="D172" s="9" t="s">
        <v>7</v>
      </c>
      <c r="E172" s="9" t="s">
        <v>8</v>
      </c>
      <c r="F172" s="9" t="s">
        <v>9</v>
      </c>
    </row>
    <row r="173">
      <c r="A173" s="13">
        <v>1.0</v>
      </c>
      <c r="B173" s="15" t="s">
        <v>39</v>
      </c>
      <c r="C173" s="19">
        <v>45870.0</v>
      </c>
      <c r="D173" s="22">
        <v>2803.77</v>
      </c>
      <c r="E173" s="25"/>
      <c r="F173" s="28"/>
    </row>
    <row r="174">
      <c r="A174" s="30" t="s">
        <v>32</v>
      </c>
      <c r="B174" s="31"/>
      <c r="C174" s="32"/>
      <c r="D174" s="24">
        <f>round(D173*(1+10%),2)</f>
        <v>3084.15</v>
      </c>
      <c r="E174" s="38"/>
      <c r="F174" s="28"/>
    </row>
    <row r="175">
      <c r="A175" s="30" t="s">
        <v>34</v>
      </c>
      <c r="B175" s="31"/>
      <c r="C175" s="32"/>
      <c r="D175" s="24">
        <f>round(D174*12%,2)</f>
        <v>370.1</v>
      </c>
      <c r="E175" s="38"/>
      <c r="F175" s="28"/>
    </row>
    <row r="176">
      <c r="A176" s="33" t="s">
        <v>9</v>
      </c>
      <c r="B176" s="31"/>
      <c r="C176" s="32"/>
      <c r="D176" s="39">
        <f>D174-D175</f>
        <v>2714.05</v>
      </c>
      <c r="E176" s="46">
        <v>26502.0</v>
      </c>
      <c r="F176" s="41">
        <f>D176*E176</f>
        <v>71927753.1</v>
      </c>
    </row>
    <row r="177">
      <c r="A177" s="33" t="s">
        <v>26</v>
      </c>
      <c r="B177" s="31"/>
      <c r="C177" s="32"/>
      <c r="D177" s="39"/>
      <c r="E177" s="46"/>
      <c r="F177" s="41">
        <f>round(F176*10%,0)</f>
        <v>7192775</v>
      </c>
    </row>
    <row r="178">
      <c r="A178" s="33" t="s">
        <v>16</v>
      </c>
      <c r="B178" s="31"/>
      <c r="C178" s="32"/>
      <c r="D178" s="39"/>
      <c r="E178" s="46"/>
      <c r="F178" s="41">
        <f>F176+F177</f>
        <v>79120528.1</v>
      </c>
    </row>
    <row r="183">
      <c r="A183" s="2" t="s">
        <v>44</v>
      </c>
    </row>
    <row r="184">
      <c r="A184" s="5"/>
      <c r="B184" s="5"/>
      <c r="C184" s="5"/>
      <c r="D184" s="5"/>
      <c r="E184" s="5"/>
      <c r="F184" s="5"/>
    </row>
    <row r="185">
      <c r="A185" s="9" t="s">
        <v>4</v>
      </c>
      <c r="B185" s="9" t="s">
        <v>5</v>
      </c>
      <c r="C185" s="9" t="s">
        <v>6</v>
      </c>
      <c r="D185" s="9" t="s">
        <v>7</v>
      </c>
      <c r="E185" s="9" t="s">
        <v>8</v>
      </c>
      <c r="F185" s="9" t="s">
        <v>9</v>
      </c>
    </row>
    <row r="186">
      <c r="A186" s="13">
        <v>1.0</v>
      </c>
      <c r="B186" s="15" t="s">
        <v>39</v>
      </c>
      <c r="C186" s="19">
        <v>45901.0</v>
      </c>
      <c r="D186" s="22">
        <v>2803.77</v>
      </c>
      <c r="E186" s="25"/>
      <c r="F186" s="28"/>
    </row>
    <row r="187">
      <c r="A187" s="30" t="s">
        <v>32</v>
      </c>
      <c r="B187" s="31"/>
      <c r="C187" s="32"/>
      <c r="D187" s="24">
        <f>round(D186*(1+10%),2)</f>
        <v>3084.15</v>
      </c>
      <c r="E187" s="38"/>
      <c r="F187" s="28"/>
    </row>
    <row r="188">
      <c r="A188" s="30" t="s">
        <v>34</v>
      </c>
      <c r="B188" s="31"/>
      <c r="C188" s="32"/>
      <c r="D188" s="24">
        <f>round(D187*12%,2)</f>
        <v>370.1</v>
      </c>
      <c r="E188" s="38"/>
      <c r="F188" s="28"/>
    </row>
    <row r="189">
      <c r="A189" s="33" t="s">
        <v>9</v>
      </c>
      <c r="B189" s="31"/>
      <c r="C189" s="32"/>
      <c r="D189" s="39">
        <f>D187-D188</f>
        <v>2714.05</v>
      </c>
      <c r="E189" s="46">
        <v>26446.0</v>
      </c>
      <c r="F189" s="41">
        <f>D189*E189</f>
        <v>71775766.3</v>
      </c>
    </row>
    <row r="190">
      <c r="A190" s="33" t="s">
        <v>26</v>
      </c>
      <c r="B190" s="31"/>
      <c r="C190" s="32"/>
      <c r="D190" s="39"/>
      <c r="E190" s="46"/>
      <c r="F190" s="41">
        <f>round(F189*10%,0)</f>
        <v>7177577</v>
      </c>
    </row>
    <row r="191">
      <c r="A191" s="33" t="s">
        <v>16</v>
      </c>
      <c r="B191" s="31"/>
      <c r="C191" s="32"/>
      <c r="D191" s="39"/>
      <c r="E191" s="46"/>
      <c r="F191" s="41">
        <f>F189+F190</f>
        <v>78953343.3</v>
      </c>
    </row>
    <row r="196">
      <c r="A196" s="2" t="s">
        <v>44</v>
      </c>
    </row>
    <row r="197">
      <c r="A197" s="5"/>
      <c r="B197" s="5"/>
      <c r="C197" s="5"/>
      <c r="D197" s="5"/>
      <c r="E197" s="5"/>
      <c r="F197" s="5"/>
    </row>
    <row r="198">
      <c r="A198" s="9" t="s">
        <v>4</v>
      </c>
      <c r="B198" s="9" t="s">
        <v>5</v>
      </c>
      <c r="C198" s="9" t="s">
        <v>6</v>
      </c>
      <c r="D198" s="9" t="s">
        <v>7</v>
      </c>
      <c r="E198" s="9" t="s">
        <v>8</v>
      </c>
      <c r="F198" s="9" t="s">
        <v>9</v>
      </c>
    </row>
    <row r="199">
      <c r="A199" s="13">
        <v>1.0</v>
      </c>
      <c r="B199" s="15" t="s">
        <v>39</v>
      </c>
      <c r="C199" s="19">
        <v>45931.0</v>
      </c>
      <c r="D199" s="22">
        <v>2803.77</v>
      </c>
      <c r="E199" s="25"/>
      <c r="F199" s="28"/>
    </row>
    <row r="200">
      <c r="A200" s="30" t="s">
        <v>32</v>
      </c>
      <c r="B200" s="31"/>
      <c r="C200" s="32"/>
      <c r="D200" s="24">
        <f>round(D199*(1+10%),2)</f>
        <v>3084.15</v>
      </c>
      <c r="E200" s="38"/>
      <c r="F200" s="28"/>
    </row>
    <row r="201">
      <c r="A201" s="30" t="s">
        <v>34</v>
      </c>
      <c r="B201" s="31"/>
      <c r="C201" s="32"/>
      <c r="D201" s="24">
        <f>round(D200*12%,2)</f>
        <v>370.1</v>
      </c>
      <c r="E201" s="38"/>
      <c r="F201" s="28"/>
    </row>
    <row r="202">
      <c r="A202" s="33" t="s">
        <v>9</v>
      </c>
      <c r="B202" s="31"/>
      <c r="C202" s="32"/>
      <c r="D202" s="39">
        <f>D200-D201</f>
        <v>2714.05</v>
      </c>
      <c r="E202" s="46">
        <v>26347.0</v>
      </c>
      <c r="F202" s="41">
        <f>D202*E202</f>
        <v>71507075.35</v>
      </c>
    </row>
    <row r="203">
      <c r="A203" s="33" t="s">
        <v>26</v>
      </c>
      <c r="B203" s="31"/>
      <c r="C203" s="32"/>
      <c r="D203" s="39"/>
      <c r="E203" s="46"/>
      <c r="F203" s="41">
        <f>round(F202*10%,0)</f>
        <v>7150708</v>
      </c>
    </row>
    <row r="204">
      <c r="A204" s="33" t="s">
        <v>16</v>
      </c>
      <c r="B204" s="31"/>
      <c r="C204" s="32"/>
      <c r="D204" s="39"/>
      <c r="E204" s="46"/>
      <c r="F204" s="41">
        <f>F202+F203</f>
        <v>78657783.35</v>
      </c>
    </row>
    <row r="209">
      <c r="A209" s="2" t="s">
        <v>44</v>
      </c>
    </row>
    <row r="210">
      <c r="A210" s="5"/>
      <c r="B210" s="5"/>
      <c r="C210" s="5"/>
      <c r="D210" s="5"/>
      <c r="E210" s="5"/>
      <c r="F210" s="5"/>
    </row>
    <row r="211">
      <c r="A211" s="9" t="s">
        <v>4</v>
      </c>
      <c r="B211" s="9" t="s">
        <v>5</v>
      </c>
      <c r="C211" s="9" t="s">
        <v>6</v>
      </c>
      <c r="D211" s="9" t="s">
        <v>7</v>
      </c>
      <c r="E211" s="9" t="s">
        <v>8</v>
      </c>
      <c r="F211" s="9" t="s">
        <v>9</v>
      </c>
    </row>
    <row r="212">
      <c r="A212" s="13">
        <v>1.0</v>
      </c>
      <c r="B212" s="15" t="s">
        <v>39</v>
      </c>
      <c r="C212" s="19">
        <v>45962.0</v>
      </c>
      <c r="D212" s="22">
        <v>2803.77</v>
      </c>
      <c r="E212" s="25"/>
      <c r="F212" s="28"/>
    </row>
    <row r="213">
      <c r="A213" s="30" t="s">
        <v>32</v>
      </c>
      <c r="B213" s="31"/>
      <c r="C213" s="32"/>
      <c r="D213" s="24">
        <f>round(D212*(1+10%),2)</f>
        <v>3084.15</v>
      </c>
      <c r="E213" s="38"/>
      <c r="F213" s="28"/>
    </row>
    <row r="214">
      <c r="A214" s="30" t="s">
        <v>34</v>
      </c>
      <c r="B214" s="31"/>
      <c r="C214" s="32"/>
      <c r="D214" s="24">
        <f>round(D213*12%,2)</f>
        <v>370.1</v>
      </c>
      <c r="E214" s="38"/>
      <c r="F214" s="28"/>
    </row>
    <row r="215">
      <c r="A215" s="33" t="s">
        <v>9</v>
      </c>
      <c r="B215" s="31"/>
      <c r="C215" s="32"/>
      <c r="D215" s="39">
        <f>D213-D214</f>
        <v>2714.05</v>
      </c>
      <c r="E215" s="46">
        <v>26412.0</v>
      </c>
      <c r="F215" s="41">
        <f>D215*E215</f>
        <v>71683488.6</v>
      </c>
    </row>
    <row r="216">
      <c r="A216" s="33" t="s">
        <v>26</v>
      </c>
      <c r="B216" s="31"/>
      <c r="C216" s="32"/>
      <c r="D216" s="39"/>
      <c r="E216" s="46"/>
      <c r="F216" s="41">
        <f>round(F215*10%,0)</f>
        <v>7168349</v>
      </c>
    </row>
    <row r="217">
      <c r="A217" s="33" t="s">
        <v>16</v>
      </c>
      <c r="B217" s="31"/>
      <c r="C217" s="32"/>
      <c r="D217" s="39"/>
      <c r="E217" s="46"/>
      <c r="F217" s="41">
        <f>F215+F216</f>
        <v>78851837.6</v>
      </c>
    </row>
    <row r="223">
      <c r="A223" s="2" t="s">
        <v>44</v>
      </c>
    </row>
    <row r="224">
      <c r="A224" s="5"/>
      <c r="B224" s="5"/>
      <c r="C224" s="5"/>
      <c r="D224" s="5"/>
      <c r="E224" s="5"/>
      <c r="F224" s="5"/>
    </row>
    <row r="225">
      <c r="A225" s="9" t="s">
        <v>4</v>
      </c>
      <c r="B225" s="9" t="s">
        <v>5</v>
      </c>
      <c r="C225" s="9" t="s">
        <v>6</v>
      </c>
      <c r="D225" s="9" t="s">
        <v>7</v>
      </c>
      <c r="E225" s="9" t="s">
        <v>8</v>
      </c>
      <c r="F225" s="9" t="s">
        <v>9</v>
      </c>
    </row>
    <row r="226">
      <c r="A226" s="13">
        <v>1.0</v>
      </c>
      <c r="B226" s="15" t="s">
        <v>39</v>
      </c>
      <c r="C226" s="19">
        <v>45992.0</v>
      </c>
      <c r="D226" s="22">
        <v>2853.53</v>
      </c>
      <c r="E226" s="25"/>
      <c r="F226" s="28"/>
    </row>
    <row r="227">
      <c r="A227" s="30" t="s">
        <v>32</v>
      </c>
      <c r="B227" s="31"/>
      <c r="C227" s="32"/>
      <c r="D227" s="24">
        <f>round(D226*(1+10%),2)</f>
        <v>3138.88</v>
      </c>
      <c r="E227" s="38"/>
      <c r="F227" s="28"/>
    </row>
    <row r="228">
      <c r="A228" s="30" t="s">
        <v>34</v>
      </c>
      <c r="B228" s="31"/>
      <c r="C228" s="32"/>
      <c r="D228" s="24">
        <f>round(D227*12%,2)</f>
        <v>376.67</v>
      </c>
      <c r="E228" s="38"/>
      <c r="F228" s="28"/>
    </row>
    <row r="229">
      <c r="A229" s="33" t="s">
        <v>9</v>
      </c>
      <c r="B229" s="31"/>
      <c r="C229" s="32"/>
      <c r="D229" s="39">
        <f>D227-D228</f>
        <v>2762.21</v>
      </c>
      <c r="E229" s="46">
        <v>26377.0</v>
      </c>
      <c r="F229" s="41">
        <f>D229*E229</f>
        <v>72858813.17</v>
      </c>
    </row>
    <row r="230">
      <c r="A230" s="33" t="s">
        <v>26</v>
      </c>
      <c r="B230" s="31"/>
      <c r="C230" s="32"/>
      <c r="D230" s="39"/>
      <c r="E230" s="46"/>
      <c r="F230" s="41">
        <f>round(F229*10%,0)</f>
        <v>7285881</v>
      </c>
    </row>
    <row r="231">
      <c r="A231" s="33" t="s">
        <v>16</v>
      </c>
      <c r="B231" s="31"/>
      <c r="C231" s="32"/>
      <c r="D231" s="39"/>
      <c r="E231" s="46"/>
      <c r="F231" s="41">
        <f>F229+F230</f>
        <v>80144694.17</v>
      </c>
    </row>
    <row r="236">
      <c r="A236" s="2" t="s">
        <v>44</v>
      </c>
    </row>
    <row r="237">
      <c r="A237" s="5"/>
      <c r="B237" s="5"/>
      <c r="C237" s="5"/>
      <c r="D237" s="5"/>
      <c r="E237" s="5"/>
      <c r="F237" s="5"/>
    </row>
    <row r="238">
      <c r="A238" s="9" t="s">
        <v>4</v>
      </c>
      <c r="B238" s="9" t="s">
        <v>5</v>
      </c>
      <c r="C238" s="9" t="s">
        <v>6</v>
      </c>
      <c r="D238" s="9" t="s">
        <v>7</v>
      </c>
      <c r="E238" s="9" t="s">
        <v>8</v>
      </c>
      <c r="F238" s="9" t="s">
        <v>9</v>
      </c>
    </row>
    <row r="239">
      <c r="A239" s="13">
        <v>1.0</v>
      </c>
      <c r="B239" s="15" t="s">
        <v>39</v>
      </c>
      <c r="C239" s="19">
        <v>46023.0</v>
      </c>
      <c r="D239" s="22">
        <v>2803.77</v>
      </c>
      <c r="E239" s="25"/>
      <c r="F239" s="28"/>
    </row>
    <row r="240">
      <c r="A240" s="30" t="s">
        <v>32</v>
      </c>
      <c r="B240" s="31"/>
      <c r="C240" s="32"/>
      <c r="D240" s="24">
        <f>round(D239*(1+10%),2)</f>
        <v>3084.15</v>
      </c>
      <c r="E240" s="38"/>
      <c r="F240" s="28"/>
    </row>
    <row r="241">
      <c r="A241" s="30" t="s">
        <v>34</v>
      </c>
      <c r="B241" s="31"/>
      <c r="C241" s="32"/>
      <c r="D241" s="24">
        <f>round(D240*12%,2)</f>
        <v>370.1</v>
      </c>
      <c r="E241" s="38"/>
      <c r="F241" s="28"/>
    </row>
    <row r="242">
      <c r="A242" s="33" t="s">
        <v>9</v>
      </c>
      <c r="B242" s="31"/>
      <c r="C242" s="32"/>
      <c r="D242" s="39">
        <f>D240-D241</f>
        <v>2714.05</v>
      </c>
      <c r="E242" s="46">
        <v>26145.0</v>
      </c>
      <c r="F242" s="41">
        <f>D242*E242</f>
        <v>70958837.25</v>
      </c>
    </row>
    <row r="243">
      <c r="A243" s="33" t="s">
        <v>26</v>
      </c>
      <c r="B243" s="31"/>
      <c r="C243" s="32"/>
      <c r="D243" s="39"/>
      <c r="E243" s="46"/>
      <c r="F243" s="41">
        <f>round(F242*10%,0)</f>
        <v>7095884</v>
      </c>
    </row>
    <row r="244">
      <c r="A244" s="33" t="s">
        <v>16</v>
      </c>
      <c r="B244" s="31"/>
      <c r="C244" s="32"/>
      <c r="D244" s="39"/>
      <c r="E244" s="46"/>
      <c r="F244" s="41">
        <f>F242+F243</f>
        <v>78054721.25</v>
      </c>
    </row>
    <row r="249">
      <c r="A249" s="2" t="s">
        <v>44</v>
      </c>
    </row>
    <row r="250">
      <c r="A250" s="5"/>
      <c r="B250" s="5"/>
      <c r="C250" s="5"/>
      <c r="D250" s="5"/>
      <c r="E250" s="5"/>
      <c r="F250" s="5"/>
    </row>
    <row r="251">
      <c r="A251" s="9" t="s">
        <v>4</v>
      </c>
      <c r="B251" s="9" t="s">
        <v>5</v>
      </c>
      <c r="C251" s="9" t="s">
        <v>6</v>
      </c>
      <c r="D251" s="9" t="s">
        <v>7</v>
      </c>
      <c r="E251" s="9" t="s">
        <v>8</v>
      </c>
      <c r="F251" s="9" t="s">
        <v>9</v>
      </c>
    </row>
    <row r="252">
      <c r="A252" s="13">
        <v>1.0</v>
      </c>
      <c r="B252" s="15" t="s">
        <v>39</v>
      </c>
      <c r="C252" s="19">
        <v>46054.0</v>
      </c>
      <c r="D252" s="22">
        <v>2803.77</v>
      </c>
      <c r="E252" s="25"/>
      <c r="F252" s="28"/>
    </row>
    <row r="253">
      <c r="A253" s="30" t="s">
        <v>32</v>
      </c>
      <c r="B253" s="31"/>
      <c r="C253" s="32"/>
      <c r="D253" s="24">
        <f>round(D252*(1+10%),2)</f>
        <v>3084.15</v>
      </c>
      <c r="E253" s="38"/>
      <c r="F253" s="28"/>
    </row>
    <row r="254">
      <c r="A254" s="30" t="s">
        <v>34</v>
      </c>
      <c r="B254" s="31"/>
      <c r="C254" s="32"/>
      <c r="D254" s="24">
        <f>round(D253*12%,2)</f>
        <v>370.1</v>
      </c>
      <c r="E254" s="38"/>
      <c r="F254" s="28"/>
    </row>
    <row r="255">
      <c r="A255" s="33" t="s">
        <v>9</v>
      </c>
      <c r="B255" s="31"/>
      <c r="C255" s="32"/>
      <c r="D255" s="39">
        <f>D253-D254</f>
        <v>2714.05</v>
      </c>
      <c r="E255" s="46">
        <v>26240.0</v>
      </c>
      <c r="F255" s="41">
        <f>D255*E255</f>
        <v>71216672</v>
      </c>
    </row>
    <row r="256">
      <c r="A256" s="33" t="s">
        <v>26</v>
      </c>
      <c r="B256" s="31"/>
      <c r="C256" s="32"/>
      <c r="D256" s="39"/>
      <c r="E256" s="46"/>
      <c r="F256" s="41">
        <f>round(F255*10%,0)</f>
        <v>7121667</v>
      </c>
    </row>
    <row r="257">
      <c r="A257" s="33" t="s">
        <v>16</v>
      </c>
      <c r="B257" s="31"/>
      <c r="C257" s="32"/>
      <c r="D257" s="39"/>
      <c r="E257" s="46"/>
      <c r="F257" s="41">
        <f>F255+F256</f>
        <v>78338339</v>
      </c>
    </row>
    <row r="263">
      <c r="A263" s="2" t="s">
        <v>44</v>
      </c>
    </row>
    <row r="264">
      <c r="A264" s="5"/>
      <c r="B264" s="5"/>
      <c r="C264" s="5"/>
      <c r="D264" s="5"/>
      <c r="E264" s="5"/>
      <c r="F264" s="5"/>
    </row>
    <row r="265">
      <c r="A265" s="9" t="s">
        <v>4</v>
      </c>
      <c r="B265" s="9" t="s">
        <v>5</v>
      </c>
      <c r="C265" s="9" t="s">
        <v>6</v>
      </c>
      <c r="D265" s="9" t="s">
        <v>7</v>
      </c>
      <c r="E265" s="9" t="s">
        <v>8</v>
      </c>
      <c r="F265" s="9" t="s">
        <v>9</v>
      </c>
    </row>
    <row r="266">
      <c r="A266" s="13">
        <v>1.0</v>
      </c>
      <c r="B266" s="15" t="s">
        <v>39</v>
      </c>
      <c r="C266" s="19">
        <v>46082.0</v>
      </c>
      <c r="D266" s="22">
        <v>2851.77</v>
      </c>
      <c r="E266" s="25"/>
      <c r="F266" s="28"/>
    </row>
    <row r="267">
      <c r="A267" s="30" t="s">
        <v>32</v>
      </c>
      <c r="B267" s="31"/>
      <c r="C267" s="32"/>
      <c r="D267" s="24">
        <f>round(D266*(1+10%),2)</f>
        <v>3136.95</v>
      </c>
      <c r="E267" s="38"/>
      <c r="F267" s="28"/>
    </row>
    <row r="268">
      <c r="A268" s="30" t="s">
        <v>34</v>
      </c>
      <c r="B268" s="31"/>
      <c r="C268" s="32"/>
      <c r="D268" s="24">
        <f>round(D267*12%,2)</f>
        <v>376.43</v>
      </c>
      <c r="E268" s="38"/>
      <c r="F268" s="28"/>
    </row>
    <row r="269">
      <c r="A269" s="33" t="s">
        <v>9</v>
      </c>
      <c r="B269" s="31"/>
      <c r="C269" s="32"/>
      <c r="D269" s="39">
        <f>D267-D268</f>
        <v>2760.52</v>
      </c>
      <c r="E269" s="46">
        <v>26357.0</v>
      </c>
      <c r="F269" s="41">
        <f>D269*E269</f>
        <v>72759025.64</v>
      </c>
    </row>
    <row r="270">
      <c r="A270" s="33" t="s">
        <v>26</v>
      </c>
      <c r="B270" s="31"/>
      <c r="C270" s="32"/>
      <c r="D270" s="39"/>
      <c r="E270" s="46"/>
      <c r="F270" s="41">
        <f>round(F269*10%,0)</f>
        <v>7275903</v>
      </c>
    </row>
    <row r="271">
      <c r="A271" s="33" t="s">
        <v>16</v>
      </c>
      <c r="B271" s="31"/>
      <c r="C271" s="32"/>
      <c r="D271" s="39"/>
      <c r="E271" s="46"/>
      <c r="F271" s="41">
        <f>F269+F270</f>
        <v>80034928.64</v>
      </c>
    </row>
    <row r="277">
      <c r="A277" s="2" t="s">
        <v>44</v>
      </c>
    </row>
    <row r="278">
      <c r="A278" s="5"/>
      <c r="B278" s="5"/>
      <c r="C278" s="5"/>
      <c r="D278" s="5"/>
      <c r="E278" s="5"/>
      <c r="F278" s="5"/>
    </row>
    <row r="279">
      <c r="A279" s="9" t="s">
        <v>4</v>
      </c>
      <c r="B279" s="9" t="s">
        <v>5</v>
      </c>
      <c r="C279" s="9" t="s">
        <v>6</v>
      </c>
      <c r="D279" s="9" t="s">
        <v>7</v>
      </c>
      <c r="E279" s="9" t="s">
        <v>8</v>
      </c>
      <c r="F279" s="9" t="s">
        <v>9</v>
      </c>
    </row>
    <row r="280">
      <c r="A280" s="13">
        <v>1.0</v>
      </c>
      <c r="B280" s="15" t="s">
        <v>39</v>
      </c>
      <c r="C280" s="19">
        <v>46113.0</v>
      </c>
      <c r="D280" s="22">
        <v>2866.93</v>
      </c>
      <c r="E280" s="25"/>
      <c r="F280" s="28"/>
    </row>
    <row r="281">
      <c r="A281" s="30" t="s">
        <v>32</v>
      </c>
      <c r="B281" s="31"/>
      <c r="C281" s="32"/>
      <c r="D281" s="24">
        <f>round(D280*(1+10%),2)</f>
        <v>3153.62</v>
      </c>
      <c r="E281" s="38"/>
      <c r="F281" s="28"/>
    </row>
    <row r="282">
      <c r="A282" s="30" t="s">
        <v>34</v>
      </c>
      <c r="B282" s="31"/>
      <c r="C282" s="32"/>
      <c r="D282" s="24">
        <f>round(D281*12%,2)</f>
        <v>378.43</v>
      </c>
      <c r="E282" s="38"/>
      <c r="F282" s="28"/>
    </row>
    <row r="283">
      <c r="A283" s="33" t="s">
        <v>9</v>
      </c>
      <c r="B283" s="31"/>
      <c r="C283" s="32"/>
      <c r="D283" s="39">
        <f>D281-D282</f>
        <v>2775.19</v>
      </c>
      <c r="E283" s="46">
        <v>26368.0</v>
      </c>
      <c r="F283" s="41">
        <f>D283*E283</f>
        <v>73176209.92</v>
      </c>
    </row>
    <row r="284">
      <c r="A284" s="33" t="s">
        <v>26</v>
      </c>
      <c r="B284" s="31"/>
      <c r="C284" s="32"/>
      <c r="D284" s="39"/>
      <c r="E284" s="46"/>
      <c r="F284" s="41">
        <f>round(F283*10%,0)</f>
        <v>7317621</v>
      </c>
    </row>
    <row r="285">
      <c r="A285" s="33" t="s">
        <v>16</v>
      </c>
      <c r="B285" s="31"/>
      <c r="C285" s="32"/>
      <c r="D285" s="39"/>
      <c r="E285" s="46"/>
      <c r="F285" s="41">
        <f>F283+F284</f>
        <v>80493830.92</v>
      </c>
    </row>
    <row r="290">
      <c r="A290" s="2" t="s">
        <v>44</v>
      </c>
    </row>
    <row r="291">
      <c r="A291" s="5"/>
      <c r="B291" s="5"/>
      <c r="C291" s="5"/>
      <c r="D291" s="5"/>
      <c r="E291" s="5"/>
      <c r="F291" s="5"/>
    </row>
    <row r="292">
      <c r="A292" s="9" t="s">
        <v>4</v>
      </c>
      <c r="B292" s="9" t="s">
        <v>5</v>
      </c>
      <c r="C292" s="9" t="s">
        <v>6</v>
      </c>
      <c r="D292" s="9" t="s">
        <v>7</v>
      </c>
      <c r="E292" s="9" t="s">
        <v>8</v>
      </c>
      <c r="F292" s="9" t="s">
        <v>9</v>
      </c>
    </row>
    <row r="293">
      <c r="A293" s="13">
        <v>1.0</v>
      </c>
      <c r="B293" s="15" t="s">
        <v>39</v>
      </c>
      <c r="C293" s="19">
        <v>46143.0</v>
      </c>
      <c r="D293" s="22">
        <v>2844.51</v>
      </c>
      <c r="E293" s="25"/>
      <c r="F293" s="28"/>
    </row>
    <row r="294">
      <c r="A294" s="30" t="s">
        <v>32</v>
      </c>
      <c r="B294" s="31"/>
      <c r="C294" s="32"/>
      <c r="D294" s="24">
        <f>round(D293*(1+10%),2)</f>
        <v>3128.96</v>
      </c>
      <c r="E294" s="38"/>
      <c r="F294" s="28"/>
    </row>
    <row r="295">
      <c r="A295" s="30" t="s">
        <v>34</v>
      </c>
      <c r="B295" s="31"/>
      <c r="C295" s="32"/>
      <c r="D295" s="24">
        <f>round(D294*12%,2)</f>
        <v>375.48</v>
      </c>
      <c r="E295" s="38"/>
      <c r="F295" s="28"/>
    </row>
    <row r="296">
      <c r="A296" s="33" t="s">
        <v>9</v>
      </c>
      <c r="B296" s="31"/>
      <c r="C296" s="32"/>
      <c r="D296" s="39">
        <f>D294-D295</f>
        <v>2753.48</v>
      </c>
      <c r="E296" s="46">
        <v>26395.0</v>
      </c>
      <c r="F296" s="41">
        <f>round(D296*E296,0)</f>
        <v>72678105</v>
      </c>
    </row>
    <row r="297">
      <c r="A297" s="33" t="s">
        <v>26</v>
      </c>
      <c r="B297" s="31"/>
      <c r="C297" s="32"/>
      <c r="D297" s="39"/>
      <c r="E297" s="46"/>
      <c r="F297" s="41">
        <f>round(F296*10%,0)</f>
        <v>7267811</v>
      </c>
    </row>
    <row r="298">
      <c r="A298" s="33" t="s">
        <v>16</v>
      </c>
      <c r="B298" s="31"/>
      <c r="C298" s="32"/>
      <c r="D298" s="39"/>
      <c r="E298" s="46"/>
      <c r="F298" s="41">
        <f>F296+F297</f>
        <v>79945916</v>
      </c>
    </row>
    <row r="304">
      <c r="A304" s="2" t="s">
        <v>44</v>
      </c>
    </row>
    <row r="305">
      <c r="A305" s="5"/>
      <c r="B305" s="5"/>
      <c r="C305" s="5"/>
      <c r="D305" s="5"/>
      <c r="E305" s="5"/>
      <c r="F305" s="5"/>
    </row>
    <row r="306">
      <c r="A306" s="9" t="s">
        <v>4</v>
      </c>
      <c r="B306" s="9" t="s">
        <v>5</v>
      </c>
      <c r="C306" s="9" t="s">
        <v>6</v>
      </c>
      <c r="D306" s="9" t="s">
        <v>7</v>
      </c>
      <c r="E306" s="9" t="s">
        <v>8</v>
      </c>
      <c r="F306" s="9" t="s">
        <v>9</v>
      </c>
    </row>
    <row r="307">
      <c r="A307" s="13">
        <v>1.0</v>
      </c>
      <c r="B307" s="15" t="s">
        <v>39</v>
      </c>
      <c r="C307" s="19">
        <v>46174.0</v>
      </c>
      <c r="D307" s="22">
        <v>2478.14</v>
      </c>
      <c r="E307" s="25"/>
      <c r="F307" s="28"/>
    </row>
    <row r="308">
      <c r="A308" s="30" t="s">
        <v>32</v>
      </c>
      <c r="B308" s="31"/>
      <c r="C308" s="32"/>
      <c r="D308" s="24">
        <f>round(D307*(1+10%),2)</f>
        <v>2725.95</v>
      </c>
      <c r="E308" s="38"/>
      <c r="F308" s="28"/>
    </row>
    <row r="309">
      <c r="A309" s="30" t="s">
        <v>34</v>
      </c>
      <c r="B309" s="31"/>
      <c r="C309" s="32"/>
      <c r="D309" s="24">
        <f>round(D308*12%,2)</f>
        <v>327.11</v>
      </c>
      <c r="E309" s="38"/>
      <c r="F309" s="28"/>
    </row>
    <row r="310">
      <c r="A310" s="33" t="s">
        <v>9</v>
      </c>
      <c r="B310" s="31"/>
      <c r="C310" s="32"/>
      <c r="D310" s="39">
        <f>D308-D309</f>
        <v>2398.84</v>
      </c>
      <c r="E310" s="46">
        <v>26466.0</v>
      </c>
      <c r="F310" s="41">
        <f>round(D310*E310,0)</f>
        <v>63487699</v>
      </c>
    </row>
    <row r="311">
      <c r="A311" s="33" t="s">
        <v>26</v>
      </c>
      <c r="B311" s="31"/>
      <c r="C311" s="32"/>
      <c r="D311" s="39"/>
      <c r="E311" s="46"/>
      <c r="F311" s="41">
        <f>round(F310*10%,0)</f>
        <v>6348770</v>
      </c>
    </row>
    <row r="312">
      <c r="A312" s="33" t="s">
        <v>16</v>
      </c>
      <c r="B312" s="31"/>
      <c r="C312" s="32"/>
      <c r="D312" s="39"/>
      <c r="E312" s="46"/>
      <c r="F312" s="41">
        <f>F310+F311</f>
        <v>69836469</v>
      </c>
    </row>
    <row r="318">
      <c r="A318" s="2" t="s">
        <v>44</v>
      </c>
    </row>
    <row r="319">
      <c r="A319" s="5"/>
      <c r="B319" s="5"/>
      <c r="C319" s="5"/>
      <c r="D319" s="5"/>
      <c r="E319" s="5"/>
      <c r="F319" s="5"/>
    </row>
    <row r="320">
      <c r="A320" s="9" t="s">
        <v>4</v>
      </c>
      <c r="B320" s="9" t="s">
        <v>5</v>
      </c>
      <c r="C320" s="9" t="s">
        <v>6</v>
      </c>
      <c r="D320" s="9" t="s">
        <v>7</v>
      </c>
      <c r="E320" s="9" t="s">
        <v>8</v>
      </c>
      <c r="F320" s="9" t="s">
        <v>9</v>
      </c>
    </row>
    <row r="321">
      <c r="A321" s="13">
        <v>1.0</v>
      </c>
      <c r="B321" s="15" t="s">
        <v>39</v>
      </c>
      <c r="C321" s="19">
        <v>46204.0</v>
      </c>
      <c r="D321" s="22">
        <v>2269.6</v>
      </c>
      <c r="E321" s="25"/>
      <c r="F321" s="28"/>
    </row>
    <row r="322">
      <c r="A322" s="30" t="s">
        <v>32</v>
      </c>
      <c r="B322" s="31"/>
      <c r="C322" s="32"/>
      <c r="D322" s="24">
        <f>round(D321*(1+10%),2)</f>
        <v>2496.56</v>
      </c>
      <c r="E322" s="38"/>
      <c r="F322" s="28"/>
    </row>
    <row r="323">
      <c r="A323" s="30" t="s">
        <v>34</v>
      </c>
      <c r="B323" s="31"/>
      <c r="C323" s="32"/>
      <c r="D323" s="24">
        <f>round(D322*12%,2)</f>
        <v>299.59</v>
      </c>
      <c r="E323" s="38"/>
      <c r="F323" s="28"/>
    </row>
    <row r="324">
      <c r="A324" s="33" t="s">
        <v>9</v>
      </c>
      <c r="B324" s="31"/>
      <c r="C324" s="32"/>
      <c r="D324" s="39">
        <f>D322-D323</f>
        <v>2196.97</v>
      </c>
      <c r="E324" s="46">
        <v>26475.0</v>
      </c>
      <c r="F324" s="41">
        <f>round(D324*E324,0)</f>
        <v>58164781</v>
      </c>
    </row>
    <row r="325">
      <c r="A325" s="33" t="s">
        <v>26</v>
      </c>
      <c r="B325" s="31"/>
      <c r="C325" s="32"/>
      <c r="D325" s="39"/>
      <c r="E325" s="46"/>
      <c r="F325" s="41">
        <f>round(F324*10%,0)</f>
        <v>5816478</v>
      </c>
    </row>
    <row r="326">
      <c r="A326" s="33" t="s">
        <v>16</v>
      </c>
      <c r="B326" s="31"/>
      <c r="C326" s="32"/>
      <c r="D326" s="39"/>
      <c r="E326" s="46"/>
      <c r="F326" s="41">
        <f>F324+F325</f>
        <v>63981259</v>
      </c>
    </row>
  </sheetData>
  <mergeCells count="156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49:F49"/>
    <mergeCell ref="A53:C53"/>
    <mergeCell ref="A54:C54"/>
    <mergeCell ref="A55:C55"/>
    <mergeCell ref="A56:C56"/>
    <mergeCell ref="A57:C57"/>
    <mergeCell ref="A61:F61"/>
    <mergeCell ref="A65:C65"/>
    <mergeCell ref="A66:C66"/>
    <mergeCell ref="A67:C67"/>
    <mergeCell ref="A68:C68"/>
    <mergeCell ref="A69:C69"/>
    <mergeCell ref="A73:F73"/>
    <mergeCell ref="A77:C77"/>
    <mergeCell ref="A78:C78"/>
    <mergeCell ref="A79:C79"/>
    <mergeCell ref="A80:C80"/>
    <mergeCell ref="A81:C81"/>
    <mergeCell ref="A85:F85"/>
    <mergeCell ref="A89:C89"/>
    <mergeCell ref="A90:C90"/>
    <mergeCell ref="A91:C91"/>
    <mergeCell ref="A92:C92"/>
    <mergeCell ref="A93:C93"/>
    <mergeCell ref="A97:F97"/>
    <mergeCell ref="A187:C187"/>
    <mergeCell ref="A188:C188"/>
    <mergeCell ref="A189:C189"/>
    <mergeCell ref="A190:C190"/>
    <mergeCell ref="A191:C191"/>
    <mergeCell ref="A196:F196"/>
    <mergeCell ref="A200:C200"/>
    <mergeCell ref="A201:C201"/>
    <mergeCell ref="A202:C202"/>
    <mergeCell ref="A203:C203"/>
    <mergeCell ref="A204:C204"/>
    <mergeCell ref="A209:F209"/>
    <mergeCell ref="A213:C213"/>
    <mergeCell ref="A214:C214"/>
    <mergeCell ref="A230:C230"/>
    <mergeCell ref="A231:C231"/>
    <mergeCell ref="A236:F236"/>
    <mergeCell ref="A240:C240"/>
    <mergeCell ref="A241:C241"/>
    <mergeCell ref="A242:C242"/>
    <mergeCell ref="A243:C243"/>
    <mergeCell ref="A244:C244"/>
    <mergeCell ref="A249:F249"/>
    <mergeCell ref="A253:C253"/>
    <mergeCell ref="A254:C254"/>
    <mergeCell ref="A255:C255"/>
    <mergeCell ref="A256:C256"/>
    <mergeCell ref="A257:C257"/>
    <mergeCell ref="A263:F263"/>
    <mergeCell ref="A267:C267"/>
    <mergeCell ref="A268:C268"/>
    <mergeCell ref="A269:C269"/>
    <mergeCell ref="A270:C270"/>
    <mergeCell ref="A271:C271"/>
    <mergeCell ref="A277:F277"/>
    <mergeCell ref="A281:C281"/>
    <mergeCell ref="A282:C282"/>
    <mergeCell ref="A283:C283"/>
    <mergeCell ref="A284:C284"/>
    <mergeCell ref="A285:C285"/>
    <mergeCell ref="A290:F290"/>
    <mergeCell ref="A294:C294"/>
    <mergeCell ref="A295:C295"/>
    <mergeCell ref="A296:C296"/>
    <mergeCell ref="A297:C297"/>
    <mergeCell ref="A298:C298"/>
    <mergeCell ref="A304:F304"/>
    <mergeCell ref="A308:C308"/>
    <mergeCell ref="A309:C309"/>
    <mergeCell ref="A325:C325"/>
    <mergeCell ref="A326:C326"/>
    <mergeCell ref="A310:C310"/>
    <mergeCell ref="A311:C311"/>
    <mergeCell ref="A312:C312"/>
    <mergeCell ref="A318:F318"/>
    <mergeCell ref="A322:C322"/>
    <mergeCell ref="A323:C323"/>
    <mergeCell ref="A324:C324"/>
    <mergeCell ref="A101:C101"/>
    <mergeCell ref="A102:C102"/>
    <mergeCell ref="A103:C103"/>
    <mergeCell ref="A104:C104"/>
    <mergeCell ref="A105:C105"/>
    <mergeCell ref="A109:F109"/>
    <mergeCell ref="A113:C113"/>
    <mergeCell ref="A114:C114"/>
    <mergeCell ref="A115:C115"/>
    <mergeCell ref="A116:C116"/>
    <mergeCell ref="A117:C117"/>
    <mergeCell ref="A121:F121"/>
    <mergeCell ref="A125:C125"/>
    <mergeCell ref="A126:C126"/>
    <mergeCell ref="A127:C127"/>
    <mergeCell ref="A128:C128"/>
    <mergeCell ref="A129:C129"/>
    <mergeCell ref="A133:F133"/>
    <mergeCell ref="A137:C137"/>
    <mergeCell ref="A138:C138"/>
    <mergeCell ref="A139:C139"/>
    <mergeCell ref="A140:C140"/>
    <mergeCell ref="A141:C141"/>
    <mergeCell ref="A145:F145"/>
    <mergeCell ref="A149:C149"/>
    <mergeCell ref="A150:C150"/>
    <mergeCell ref="A151:C151"/>
    <mergeCell ref="A152:C152"/>
    <mergeCell ref="A153:C153"/>
    <mergeCell ref="A157:F157"/>
    <mergeCell ref="A161:C161"/>
    <mergeCell ref="A162:C162"/>
    <mergeCell ref="A163:C163"/>
    <mergeCell ref="A164:C164"/>
    <mergeCell ref="A165:C165"/>
    <mergeCell ref="A170:F170"/>
    <mergeCell ref="A174:C174"/>
    <mergeCell ref="A175:C175"/>
    <mergeCell ref="A176:C176"/>
    <mergeCell ref="A177:C177"/>
    <mergeCell ref="A178:C178"/>
    <mergeCell ref="A183:F183"/>
    <mergeCell ref="A215:C215"/>
    <mergeCell ref="A216:C216"/>
    <mergeCell ref="A217:C217"/>
    <mergeCell ref="A223:F223"/>
    <mergeCell ref="A227:C227"/>
    <mergeCell ref="A228:C228"/>
    <mergeCell ref="A229:C2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25"/>
    <col customWidth="1" min="2" max="2" width="52.75"/>
    <col customWidth="1" min="3" max="3" width="11.75"/>
    <col customWidth="1" min="4" max="4" width="19.25"/>
    <col customWidth="1" min="5" max="5" width="11.13"/>
    <col customWidth="1" min="6" max="6" width="17.13"/>
  </cols>
  <sheetData>
    <row r="1">
      <c r="A1" s="2" t="s">
        <v>36</v>
      </c>
    </row>
    <row r="2">
      <c r="A2" s="5"/>
      <c r="B2" s="5"/>
      <c r="C2" s="5"/>
      <c r="D2" s="5"/>
      <c r="E2" s="5"/>
      <c r="F2" s="5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15" t="s">
        <v>38</v>
      </c>
      <c r="C4" s="19">
        <v>45444.0</v>
      </c>
      <c r="D4" s="22">
        <v>1606.14</v>
      </c>
      <c r="E4" s="25"/>
      <c r="F4" s="28"/>
    </row>
    <row r="5">
      <c r="A5" s="30" t="s">
        <v>21</v>
      </c>
      <c r="B5" s="31"/>
      <c r="C5" s="32"/>
      <c r="D5" s="24">
        <f>round(D4*(1+5.26%),2)</f>
        <v>1690.62</v>
      </c>
      <c r="E5" s="38"/>
      <c r="F5" s="28"/>
    </row>
    <row r="6">
      <c r="A6" s="30" t="s">
        <v>34</v>
      </c>
      <c r="B6" s="31"/>
      <c r="C6" s="32"/>
      <c r="D6" s="24">
        <f>round(D5*12%,2)</f>
        <v>202.87</v>
      </c>
      <c r="E6" s="38"/>
      <c r="F6" s="28"/>
    </row>
    <row r="7">
      <c r="A7" s="33" t="s">
        <v>9</v>
      </c>
      <c r="B7" s="31"/>
      <c r="C7" s="32"/>
      <c r="D7" s="39">
        <f>D5-D6</f>
        <v>1487.75</v>
      </c>
      <c r="E7" s="46">
        <v>25473.0</v>
      </c>
      <c r="F7" s="41">
        <f>D7*E7</f>
        <v>37897455.75</v>
      </c>
    </row>
    <row r="8">
      <c r="A8" s="33" t="s">
        <v>26</v>
      </c>
      <c r="B8" s="31"/>
      <c r="C8" s="32"/>
      <c r="D8" s="39"/>
      <c r="E8" s="46"/>
      <c r="F8" s="41">
        <f>round(F7*10%,0)</f>
        <v>3789746</v>
      </c>
    </row>
    <row r="9">
      <c r="A9" s="33" t="s">
        <v>16</v>
      </c>
      <c r="B9" s="31"/>
      <c r="C9" s="32"/>
      <c r="D9" s="39"/>
      <c r="E9" s="46"/>
      <c r="F9" s="41">
        <f>F7+F8</f>
        <v>41687201.75</v>
      </c>
    </row>
    <row r="13">
      <c r="A13" s="2" t="s">
        <v>36</v>
      </c>
    </row>
    <row r="14">
      <c r="A14" s="5"/>
      <c r="B14" s="5"/>
      <c r="C14" s="5"/>
      <c r="D14" s="5"/>
      <c r="E14" s="5"/>
      <c r="F14" s="5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>
      <c r="A16" s="13">
        <v>1.0</v>
      </c>
      <c r="B16" s="15" t="s">
        <v>38</v>
      </c>
      <c r="C16" s="19">
        <v>45474.0</v>
      </c>
      <c r="D16" s="22">
        <v>1606.14</v>
      </c>
      <c r="E16" s="25"/>
      <c r="F16" s="28"/>
    </row>
    <row r="17">
      <c r="A17" s="30" t="s">
        <v>21</v>
      </c>
      <c r="B17" s="31"/>
      <c r="C17" s="32"/>
      <c r="D17" s="24">
        <f>round(D16*(1+5.26%),2)</f>
        <v>1690.62</v>
      </c>
      <c r="E17" s="38"/>
      <c r="F17" s="28"/>
    </row>
    <row r="18">
      <c r="A18" s="30" t="s">
        <v>34</v>
      </c>
      <c r="B18" s="31"/>
      <c r="C18" s="32"/>
      <c r="D18" s="24">
        <f>round(D17*12%,2)</f>
        <v>202.87</v>
      </c>
      <c r="E18" s="38"/>
      <c r="F18" s="28"/>
    </row>
    <row r="19">
      <c r="A19" s="33" t="s">
        <v>9</v>
      </c>
      <c r="B19" s="31"/>
      <c r="C19" s="32"/>
      <c r="D19" s="39">
        <f>D17-D18</f>
        <v>1487.75</v>
      </c>
      <c r="E19" s="46">
        <v>25405.0</v>
      </c>
      <c r="F19" s="41">
        <f>D19*E19</f>
        <v>37796288.75</v>
      </c>
    </row>
    <row r="20">
      <c r="A20" s="33" t="s">
        <v>26</v>
      </c>
      <c r="B20" s="31"/>
      <c r="C20" s="32"/>
      <c r="D20" s="39"/>
      <c r="E20" s="46"/>
      <c r="F20" s="41">
        <f>round(F19*10%,0)</f>
        <v>3779629</v>
      </c>
    </row>
    <row r="21">
      <c r="A21" s="33" t="s">
        <v>16</v>
      </c>
      <c r="B21" s="31"/>
      <c r="C21" s="32"/>
      <c r="D21" s="39"/>
      <c r="E21" s="46"/>
      <c r="F21" s="41">
        <f>F19+F20</f>
        <v>41575917.75</v>
      </c>
    </row>
    <row r="25">
      <c r="A25" s="2" t="s">
        <v>36</v>
      </c>
    </row>
    <row r="26">
      <c r="A26" s="5"/>
      <c r="B26" s="5"/>
      <c r="C26" s="5"/>
      <c r="D26" s="5"/>
      <c r="E26" s="5"/>
      <c r="F26" s="5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</row>
    <row r="28">
      <c r="A28" s="13">
        <v>1.0</v>
      </c>
      <c r="B28" s="15" t="s">
        <v>38</v>
      </c>
      <c r="C28" s="19">
        <v>45505.0</v>
      </c>
      <c r="D28" s="22">
        <v>1606.14</v>
      </c>
      <c r="E28" s="25"/>
      <c r="F28" s="28"/>
    </row>
    <row r="29">
      <c r="A29" s="30" t="s">
        <v>21</v>
      </c>
      <c r="B29" s="31"/>
      <c r="C29" s="32"/>
      <c r="D29" s="24">
        <f>round(D28*(1+5.26%),2)</f>
        <v>1690.62</v>
      </c>
      <c r="E29" s="38"/>
      <c r="F29" s="28"/>
    </row>
    <row r="30">
      <c r="A30" s="30" t="s">
        <v>34</v>
      </c>
      <c r="B30" s="31"/>
      <c r="C30" s="32"/>
      <c r="D30" s="24">
        <f>round(D29*12%,2)</f>
        <v>202.87</v>
      </c>
      <c r="E30" s="38"/>
      <c r="F30" s="28"/>
    </row>
    <row r="31">
      <c r="A31" s="33" t="s">
        <v>9</v>
      </c>
      <c r="B31" s="31"/>
      <c r="C31" s="32"/>
      <c r="D31" s="39">
        <f>D29-D30</f>
        <v>1487.75</v>
      </c>
      <c r="E31" s="46">
        <v>25080.0</v>
      </c>
      <c r="F31" s="41">
        <f>D31*E31</f>
        <v>37312770</v>
      </c>
    </row>
    <row r="32">
      <c r="A32" s="33" t="s">
        <v>26</v>
      </c>
      <c r="B32" s="31"/>
      <c r="C32" s="32"/>
      <c r="D32" s="39"/>
      <c r="E32" s="46"/>
      <c r="F32" s="41">
        <f>round(F31*10%,0)</f>
        <v>3731277</v>
      </c>
    </row>
    <row r="33">
      <c r="A33" s="33" t="s">
        <v>16</v>
      </c>
      <c r="B33" s="31"/>
      <c r="C33" s="32"/>
      <c r="D33" s="39"/>
      <c r="E33" s="46"/>
      <c r="F33" s="41">
        <f>F31+F32</f>
        <v>41044047</v>
      </c>
    </row>
    <row r="37">
      <c r="A37" s="2" t="s">
        <v>36</v>
      </c>
    </row>
    <row r="38">
      <c r="A38" s="5"/>
      <c r="B38" s="5"/>
      <c r="C38" s="5"/>
      <c r="D38" s="5"/>
      <c r="E38" s="5"/>
      <c r="F38" s="5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</row>
    <row r="40">
      <c r="A40" s="13">
        <v>1.0</v>
      </c>
      <c r="B40" s="15" t="s">
        <v>38</v>
      </c>
      <c r="C40" s="19">
        <v>45536.0</v>
      </c>
      <c r="D40" s="22">
        <v>1606.14</v>
      </c>
      <c r="E40" s="25"/>
      <c r="F40" s="28"/>
    </row>
    <row r="41">
      <c r="A41" s="30" t="s">
        <v>21</v>
      </c>
      <c r="B41" s="31"/>
      <c r="C41" s="32"/>
      <c r="D41" s="24">
        <f>round(D40*(1+5.26%),2)</f>
        <v>1690.62</v>
      </c>
      <c r="E41" s="38"/>
      <c r="F41" s="28"/>
    </row>
    <row r="42">
      <c r="A42" s="30" t="s">
        <v>34</v>
      </c>
      <c r="B42" s="31"/>
      <c r="C42" s="32"/>
      <c r="D42" s="24">
        <f>round(D41*12%,2)</f>
        <v>202.87</v>
      </c>
      <c r="E42" s="38"/>
      <c r="F42" s="28"/>
    </row>
    <row r="43">
      <c r="A43" s="33" t="s">
        <v>9</v>
      </c>
      <c r="B43" s="31"/>
      <c r="C43" s="32"/>
      <c r="D43" s="39">
        <f>D41-D42</f>
        <v>1487.75</v>
      </c>
      <c r="E43" s="46">
        <v>24733.0</v>
      </c>
      <c r="F43" s="41">
        <f>D43*E43</f>
        <v>36796520.75</v>
      </c>
    </row>
    <row r="44">
      <c r="A44" s="33" t="s">
        <v>26</v>
      </c>
      <c r="B44" s="31"/>
      <c r="C44" s="32"/>
      <c r="D44" s="39"/>
      <c r="E44" s="46"/>
      <c r="F44" s="41">
        <f>round(F43*10%,0)</f>
        <v>3679652</v>
      </c>
    </row>
    <row r="45">
      <c r="A45" s="33" t="s">
        <v>16</v>
      </c>
      <c r="B45" s="31"/>
      <c r="C45" s="32"/>
      <c r="D45" s="39"/>
      <c r="E45" s="46"/>
      <c r="F45" s="41">
        <f>F43+F44</f>
        <v>40476172.75</v>
      </c>
    </row>
    <row r="49">
      <c r="A49" s="2" t="s">
        <v>36</v>
      </c>
    </row>
    <row r="50">
      <c r="A50" s="5"/>
      <c r="B50" s="5"/>
      <c r="C50" s="5"/>
      <c r="D50" s="5"/>
      <c r="E50" s="5"/>
      <c r="F50" s="5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</row>
    <row r="52">
      <c r="A52" s="13">
        <v>1.0</v>
      </c>
      <c r="B52" s="15" t="s">
        <v>38</v>
      </c>
      <c r="C52" s="19">
        <v>45566.0</v>
      </c>
      <c r="D52" s="22">
        <v>1686.5</v>
      </c>
      <c r="E52" s="25"/>
      <c r="F52" s="28"/>
    </row>
    <row r="53">
      <c r="A53" s="30" t="s">
        <v>21</v>
      </c>
      <c r="B53" s="31"/>
      <c r="C53" s="32"/>
      <c r="D53" s="24">
        <f>round(D52*(1+5.26%),2)</f>
        <v>1775.21</v>
      </c>
      <c r="E53" s="38"/>
      <c r="F53" s="28"/>
    </row>
    <row r="54">
      <c r="A54" s="30" t="s">
        <v>34</v>
      </c>
      <c r="B54" s="31"/>
      <c r="C54" s="32"/>
      <c r="D54" s="24">
        <f>round(D53*12%,2)</f>
        <v>213.03</v>
      </c>
      <c r="E54" s="38"/>
      <c r="F54" s="28"/>
    </row>
    <row r="55">
      <c r="A55" s="33" t="s">
        <v>9</v>
      </c>
      <c r="B55" s="31"/>
      <c r="C55" s="32"/>
      <c r="D55" s="39">
        <f>D53-D54</f>
        <v>1562.18</v>
      </c>
      <c r="E55" s="46">
        <v>25445.0</v>
      </c>
      <c r="F55" s="41">
        <f>D55*E55</f>
        <v>39749670.1</v>
      </c>
    </row>
    <row r="56">
      <c r="A56" s="33" t="s">
        <v>26</v>
      </c>
      <c r="B56" s="31"/>
      <c r="C56" s="32"/>
      <c r="D56" s="39"/>
      <c r="E56" s="46"/>
      <c r="F56" s="41">
        <f>round(F55*10%,0)</f>
        <v>3974967</v>
      </c>
    </row>
    <row r="57">
      <c r="A57" s="33" t="s">
        <v>16</v>
      </c>
      <c r="B57" s="31"/>
      <c r="C57" s="32"/>
      <c r="D57" s="39"/>
      <c r="E57" s="46"/>
      <c r="F57" s="41">
        <f>F55+F56</f>
        <v>43724637.1</v>
      </c>
    </row>
    <row r="61">
      <c r="A61" s="2" t="s">
        <v>36</v>
      </c>
    </row>
    <row r="62">
      <c r="A62" s="5"/>
      <c r="B62" s="5"/>
      <c r="C62" s="5"/>
      <c r="D62" s="5"/>
      <c r="E62" s="5"/>
      <c r="F62" s="5"/>
    </row>
    <row r="63">
      <c r="A63" s="9" t="s">
        <v>4</v>
      </c>
      <c r="B63" s="9" t="s">
        <v>5</v>
      </c>
      <c r="C63" s="9" t="s">
        <v>6</v>
      </c>
      <c r="D63" s="9" t="s">
        <v>7</v>
      </c>
      <c r="E63" s="9" t="s">
        <v>8</v>
      </c>
      <c r="F63" s="9" t="s">
        <v>9</v>
      </c>
    </row>
    <row r="64">
      <c r="A64" s="13">
        <v>1.0</v>
      </c>
      <c r="B64" s="15" t="s">
        <v>38</v>
      </c>
      <c r="C64" s="19">
        <v>45597.0</v>
      </c>
      <c r="D64" s="22">
        <v>1750.14</v>
      </c>
      <c r="E64" s="25"/>
      <c r="F64" s="28"/>
    </row>
    <row r="65">
      <c r="A65" s="30" t="s">
        <v>21</v>
      </c>
      <c r="B65" s="31"/>
      <c r="C65" s="32"/>
      <c r="D65" s="24">
        <f>round(D64*(1+5.26%),2)</f>
        <v>1842.2</v>
      </c>
      <c r="E65" s="38"/>
      <c r="F65" s="28"/>
    </row>
    <row r="66">
      <c r="A66" s="30" t="s">
        <v>34</v>
      </c>
      <c r="B66" s="31"/>
      <c r="C66" s="32"/>
      <c r="D66" s="24">
        <f>round(D65*12%,2)</f>
        <v>221.06</v>
      </c>
      <c r="E66" s="38"/>
      <c r="F66" s="28"/>
    </row>
    <row r="67">
      <c r="A67" s="33" t="s">
        <v>9</v>
      </c>
      <c r="B67" s="31"/>
      <c r="C67" s="32"/>
      <c r="D67" s="39">
        <f>D65-D66</f>
        <v>1621.14</v>
      </c>
      <c r="E67" s="46">
        <v>25463.0</v>
      </c>
      <c r="F67" s="41">
        <f>D67*E67</f>
        <v>41279087.82</v>
      </c>
    </row>
    <row r="68">
      <c r="A68" s="33" t="s">
        <v>26</v>
      </c>
      <c r="B68" s="31"/>
      <c r="C68" s="32"/>
      <c r="D68" s="39"/>
      <c r="E68" s="46"/>
      <c r="F68" s="41">
        <f>round(F67*10%,0)</f>
        <v>4127909</v>
      </c>
    </row>
    <row r="69">
      <c r="A69" s="33" t="s">
        <v>16</v>
      </c>
      <c r="B69" s="31"/>
      <c r="C69" s="32"/>
      <c r="D69" s="39"/>
      <c r="E69" s="46"/>
      <c r="F69" s="41">
        <f>F67+F68</f>
        <v>45406996.82</v>
      </c>
    </row>
    <row r="73">
      <c r="A73" s="2" t="s">
        <v>43</v>
      </c>
    </row>
    <row r="74">
      <c r="A74" s="5"/>
      <c r="B74" s="5"/>
      <c r="C74" s="5"/>
      <c r="D74" s="5"/>
      <c r="E74" s="5"/>
      <c r="F74" s="5"/>
    </row>
    <row r="75">
      <c r="A75" s="9" t="s">
        <v>4</v>
      </c>
      <c r="B75" s="9" t="s">
        <v>5</v>
      </c>
      <c r="C75" s="9" t="s">
        <v>6</v>
      </c>
      <c r="D75" s="9" t="s">
        <v>7</v>
      </c>
      <c r="E75" s="9" t="s">
        <v>8</v>
      </c>
      <c r="F75" s="9" t="s">
        <v>9</v>
      </c>
    </row>
    <row r="76">
      <c r="A76" s="13">
        <v>1.0</v>
      </c>
      <c r="B76" s="15" t="s">
        <v>38</v>
      </c>
      <c r="C76" s="19">
        <v>45627.0</v>
      </c>
      <c r="D76" s="22">
        <v>1750.14</v>
      </c>
      <c r="E76" s="25"/>
      <c r="F76" s="28"/>
    </row>
    <row r="77">
      <c r="A77" s="30" t="s">
        <v>21</v>
      </c>
      <c r="B77" s="31"/>
      <c r="C77" s="32"/>
      <c r="D77" s="24">
        <f>round(D76*(1+5.26%),2)</f>
        <v>1842.2</v>
      </c>
      <c r="E77" s="38"/>
      <c r="F77" s="28"/>
    </row>
    <row r="78">
      <c r="A78" s="30" t="s">
        <v>34</v>
      </c>
      <c r="B78" s="31"/>
      <c r="C78" s="32"/>
      <c r="D78" s="24">
        <f>round(D77*12%,2)</f>
        <v>221.06</v>
      </c>
      <c r="E78" s="38"/>
      <c r="F78" s="28"/>
    </row>
    <row r="79">
      <c r="A79" s="33" t="s">
        <v>9</v>
      </c>
      <c r="B79" s="31"/>
      <c r="C79" s="32"/>
      <c r="D79" s="39">
        <f>D77-D78</f>
        <v>1621.14</v>
      </c>
      <c r="E79" s="46">
        <v>25551.0</v>
      </c>
      <c r="F79" s="41">
        <f>D79*E79</f>
        <v>41421748.14</v>
      </c>
    </row>
    <row r="80">
      <c r="A80" s="33" t="s">
        <v>26</v>
      </c>
      <c r="B80" s="31"/>
      <c r="C80" s="32"/>
      <c r="D80" s="39"/>
      <c r="E80" s="46"/>
      <c r="F80" s="41">
        <f>round(F79*10%,0)</f>
        <v>4142175</v>
      </c>
    </row>
    <row r="81">
      <c r="A81" s="33" t="s">
        <v>16</v>
      </c>
      <c r="B81" s="31"/>
      <c r="C81" s="32"/>
      <c r="D81" s="39"/>
      <c r="E81" s="46"/>
      <c r="F81" s="41">
        <f>F79+F80</f>
        <v>45563923.14</v>
      </c>
    </row>
    <row r="85">
      <c r="A85" s="2" t="s">
        <v>43</v>
      </c>
    </row>
    <row r="86">
      <c r="A86" s="5"/>
      <c r="B86" s="5"/>
      <c r="C86" s="5"/>
      <c r="D86" s="5"/>
      <c r="E86" s="5"/>
      <c r="F86" s="5"/>
    </row>
    <row r="87">
      <c r="A87" s="9" t="s">
        <v>4</v>
      </c>
      <c r="B87" s="9" t="s">
        <v>5</v>
      </c>
      <c r="C87" s="9" t="s">
        <v>6</v>
      </c>
      <c r="D87" s="9" t="s">
        <v>7</v>
      </c>
      <c r="E87" s="9" t="s">
        <v>8</v>
      </c>
      <c r="F87" s="9" t="s">
        <v>9</v>
      </c>
    </row>
    <row r="88">
      <c r="A88" s="13">
        <v>1.0</v>
      </c>
      <c r="B88" s="15" t="s">
        <v>38</v>
      </c>
      <c r="C88" s="19">
        <v>45658.0</v>
      </c>
      <c r="D88" s="22">
        <v>1750.14</v>
      </c>
      <c r="E88" s="25"/>
      <c r="F88" s="28"/>
    </row>
    <row r="89">
      <c r="A89" s="30" t="s">
        <v>21</v>
      </c>
      <c r="B89" s="31"/>
      <c r="C89" s="32"/>
      <c r="D89" s="24">
        <f>round(D88*(1+5.26%),2)</f>
        <v>1842.2</v>
      </c>
      <c r="E89" s="38"/>
      <c r="F89" s="28"/>
    </row>
    <row r="90">
      <c r="A90" s="30" t="s">
        <v>34</v>
      </c>
      <c r="B90" s="31"/>
      <c r="C90" s="32"/>
      <c r="D90" s="24">
        <f>round(D89*12%,2)</f>
        <v>221.06</v>
      </c>
      <c r="E90" s="38"/>
      <c r="F90" s="28"/>
    </row>
    <row r="91">
      <c r="A91" s="33" t="s">
        <v>9</v>
      </c>
      <c r="B91" s="31"/>
      <c r="C91" s="32"/>
      <c r="D91" s="39">
        <f>D89-D90</f>
        <v>1621.14</v>
      </c>
      <c r="E91" s="46">
        <v>25295.0</v>
      </c>
      <c r="F91" s="41">
        <f>D91*E91</f>
        <v>41006736.3</v>
      </c>
    </row>
    <row r="92">
      <c r="A92" s="33" t="s">
        <v>26</v>
      </c>
      <c r="B92" s="31"/>
      <c r="C92" s="32"/>
      <c r="D92" s="39"/>
      <c r="E92" s="46"/>
      <c r="F92" s="41">
        <f>round(F91*10%,0)</f>
        <v>4100674</v>
      </c>
    </row>
    <row r="93">
      <c r="A93" s="33" t="s">
        <v>16</v>
      </c>
      <c r="B93" s="31"/>
      <c r="C93" s="32"/>
      <c r="D93" s="39"/>
      <c r="E93" s="46"/>
      <c r="F93" s="41">
        <f>F91+F92</f>
        <v>45107410.3</v>
      </c>
    </row>
    <row r="97">
      <c r="A97" s="2" t="s">
        <v>43</v>
      </c>
    </row>
    <row r="98">
      <c r="A98" s="5"/>
      <c r="B98" s="5"/>
      <c r="C98" s="5"/>
      <c r="D98" s="5"/>
      <c r="E98" s="5"/>
      <c r="F98" s="5"/>
    </row>
    <row r="99">
      <c r="A99" s="9" t="s">
        <v>4</v>
      </c>
      <c r="B99" s="9" t="s">
        <v>5</v>
      </c>
      <c r="C99" s="9" t="s">
        <v>6</v>
      </c>
      <c r="D99" s="9" t="s">
        <v>7</v>
      </c>
      <c r="E99" s="9" t="s">
        <v>8</v>
      </c>
      <c r="F99" s="9" t="s">
        <v>9</v>
      </c>
    </row>
    <row r="100">
      <c r="A100" s="13">
        <v>1.0</v>
      </c>
      <c r="B100" s="15" t="s">
        <v>38</v>
      </c>
      <c r="C100" s="19">
        <v>45689.0</v>
      </c>
      <c r="D100" s="22">
        <v>1750.14</v>
      </c>
      <c r="E100" s="25"/>
      <c r="F100" s="28"/>
    </row>
    <row r="101">
      <c r="A101" s="30" t="s">
        <v>21</v>
      </c>
      <c r="B101" s="31"/>
      <c r="C101" s="32"/>
      <c r="D101" s="24">
        <f>round(D100*(1+5.26%),2)</f>
        <v>1842.2</v>
      </c>
      <c r="E101" s="38"/>
      <c r="F101" s="28"/>
    </row>
    <row r="102">
      <c r="A102" s="30" t="s">
        <v>34</v>
      </c>
      <c r="B102" s="31"/>
      <c r="C102" s="32"/>
      <c r="D102" s="24">
        <f>round(D101*12%,2)</f>
        <v>221.06</v>
      </c>
      <c r="E102" s="38"/>
      <c r="F102" s="28"/>
    </row>
    <row r="103">
      <c r="A103" s="33" t="s">
        <v>9</v>
      </c>
      <c r="B103" s="31"/>
      <c r="C103" s="32"/>
      <c r="D103" s="39">
        <f>D101-D102</f>
        <v>1621.14</v>
      </c>
      <c r="E103" s="46">
        <v>25735.0</v>
      </c>
      <c r="F103" s="41">
        <f>D103*E103</f>
        <v>41720037.9</v>
      </c>
    </row>
    <row r="104">
      <c r="A104" s="33" t="s">
        <v>26</v>
      </c>
      <c r="B104" s="31"/>
      <c r="C104" s="32"/>
      <c r="D104" s="39"/>
      <c r="E104" s="46"/>
      <c r="F104" s="41">
        <f>round(F103*10%,0)</f>
        <v>4172004</v>
      </c>
    </row>
    <row r="105">
      <c r="A105" s="33" t="s">
        <v>16</v>
      </c>
      <c r="B105" s="31"/>
      <c r="C105" s="32"/>
      <c r="D105" s="39"/>
      <c r="E105" s="46"/>
      <c r="F105" s="41">
        <f>F103+F104</f>
        <v>45892041.9</v>
      </c>
    </row>
    <row r="109">
      <c r="A109" s="2" t="s">
        <v>43</v>
      </c>
    </row>
    <row r="110">
      <c r="A110" s="5"/>
      <c r="B110" s="5"/>
      <c r="C110" s="5"/>
      <c r="D110" s="5"/>
      <c r="E110" s="5"/>
      <c r="F110" s="5"/>
    </row>
    <row r="111">
      <c r="A111" s="9" t="s">
        <v>4</v>
      </c>
      <c r="B111" s="9" t="s">
        <v>5</v>
      </c>
      <c r="C111" s="9" t="s">
        <v>6</v>
      </c>
      <c r="D111" s="9" t="s">
        <v>7</v>
      </c>
      <c r="E111" s="9" t="s">
        <v>8</v>
      </c>
      <c r="F111" s="9" t="s">
        <v>9</v>
      </c>
    </row>
    <row r="112">
      <c r="A112" s="13">
        <v>1.0</v>
      </c>
      <c r="B112" s="15" t="s">
        <v>38</v>
      </c>
      <c r="C112" s="19">
        <v>45717.0</v>
      </c>
      <c r="D112" s="22">
        <v>1791.99</v>
      </c>
      <c r="E112" s="25"/>
      <c r="F112" s="28"/>
    </row>
    <row r="113">
      <c r="A113" s="30" t="s">
        <v>21</v>
      </c>
      <c r="B113" s="31"/>
      <c r="C113" s="32"/>
      <c r="D113" s="24">
        <f>round(D112*(1+5.26%),2)</f>
        <v>1886.25</v>
      </c>
      <c r="E113" s="38"/>
      <c r="F113" s="28"/>
    </row>
    <row r="114">
      <c r="A114" s="30" t="s">
        <v>34</v>
      </c>
      <c r="B114" s="31"/>
      <c r="C114" s="32"/>
      <c r="D114" s="24">
        <f>round(D113*12%,2)</f>
        <v>226.35</v>
      </c>
      <c r="E114" s="38"/>
      <c r="F114" s="28"/>
    </row>
    <row r="115">
      <c r="A115" s="33" t="s">
        <v>9</v>
      </c>
      <c r="B115" s="31"/>
      <c r="C115" s="32"/>
      <c r="D115" s="39">
        <f>D113-D114</f>
        <v>1659.9</v>
      </c>
      <c r="E115" s="46">
        <v>25775.0</v>
      </c>
      <c r="F115" s="41">
        <f>D115*E115</f>
        <v>42783922.5</v>
      </c>
    </row>
    <row r="116">
      <c r="A116" s="33" t="s">
        <v>26</v>
      </c>
      <c r="B116" s="31"/>
      <c r="C116" s="32"/>
      <c r="D116" s="39"/>
      <c r="E116" s="46"/>
      <c r="F116" s="41">
        <f>round(F115*10%,0)</f>
        <v>4278392</v>
      </c>
    </row>
    <row r="117">
      <c r="A117" s="33" t="s">
        <v>16</v>
      </c>
      <c r="B117" s="31"/>
      <c r="C117" s="32"/>
      <c r="D117" s="39"/>
      <c r="E117" s="46"/>
      <c r="F117" s="41">
        <f>F115+F116</f>
        <v>47062314.5</v>
      </c>
    </row>
    <row r="121">
      <c r="A121" s="2" t="s">
        <v>43</v>
      </c>
    </row>
    <row r="122">
      <c r="A122" s="5"/>
      <c r="B122" s="5"/>
      <c r="C122" s="5"/>
      <c r="D122" s="5"/>
      <c r="E122" s="5"/>
      <c r="F122" s="5"/>
    </row>
    <row r="123">
      <c r="A123" s="9" t="s">
        <v>4</v>
      </c>
      <c r="B123" s="9" t="s">
        <v>5</v>
      </c>
      <c r="C123" s="9" t="s">
        <v>6</v>
      </c>
      <c r="D123" s="9" t="s">
        <v>7</v>
      </c>
      <c r="E123" s="9" t="s">
        <v>8</v>
      </c>
      <c r="F123" s="9" t="s">
        <v>9</v>
      </c>
    </row>
    <row r="124">
      <c r="A124" s="13">
        <v>1.0</v>
      </c>
      <c r="B124" s="15" t="s">
        <v>38</v>
      </c>
      <c r="C124" s="19">
        <v>45748.0</v>
      </c>
      <c r="D124" s="22">
        <v>1954.77</v>
      </c>
      <c r="E124" s="25"/>
      <c r="F124" s="28"/>
    </row>
    <row r="125">
      <c r="A125" s="30" t="s">
        <v>21</v>
      </c>
      <c r="B125" s="31"/>
      <c r="C125" s="32"/>
      <c r="D125" s="24">
        <f>round(D124*(1+5.26%),2)</f>
        <v>2057.59</v>
      </c>
      <c r="E125" s="38"/>
      <c r="F125" s="28"/>
    </row>
    <row r="126">
      <c r="A126" s="30" t="s">
        <v>34</v>
      </c>
      <c r="B126" s="31"/>
      <c r="C126" s="32"/>
      <c r="D126" s="24">
        <f>round(D125*12%,2)</f>
        <v>246.91</v>
      </c>
      <c r="E126" s="38"/>
      <c r="F126" s="28"/>
    </row>
    <row r="127">
      <c r="A127" s="33" t="s">
        <v>9</v>
      </c>
      <c r="B127" s="31"/>
      <c r="C127" s="32"/>
      <c r="D127" s="39">
        <f>D125-D126</f>
        <v>1810.68</v>
      </c>
      <c r="E127" s="46">
        <v>26190.0</v>
      </c>
      <c r="F127" s="41">
        <f>D127*E127</f>
        <v>47421709.2</v>
      </c>
    </row>
    <row r="128">
      <c r="A128" s="33" t="s">
        <v>26</v>
      </c>
      <c r="B128" s="31"/>
      <c r="C128" s="32"/>
      <c r="D128" s="39"/>
      <c r="E128" s="46"/>
      <c r="F128" s="41">
        <f>round(F127*10%,0)</f>
        <v>4742171</v>
      </c>
    </row>
    <row r="129">
      <c r="A129" s="33" t="s">
        <v>16</v>
      </c>
      <c r="B129" s="31"/>
      <c r="C129" s="32"/>
      <c r="D129" s="39"/>
      <c r="E129" s="46"/>
      <c r="F129" s="41">
        <f>F127+F128</f>
        <v>52163880.2</v>
      </c>
    </row>
    <row r="133">
      <c r="A133" s="2" t="s">
        <v>43</v>
      </c>
    </row>
    <row r="134">
      <c r="A134" s="5"/>
      <c r="B134" s="5"/>
      <c r="C134" s="5"/>
      <c r="D134" s="5"/>
      <c r="E134" s="5"/>
      <c r="F134" s="5"/>
    </row>
    <row r="135">
      <c r="A135" s="9" t="s">
        <v>4</v>
      </c>
      <c r="B135" s="9" t="s">
        <v>5</v>
      </c>
      <c r="C135" s="9" t="s">
        <v>6</v>
      </c>
      <c r="D135" s="9" t="s">
        <v>7</v>
      </c>
      <c r="E135" s="9" t="s">
        <v>8</v>
      </c>
      <c r="F135" s="9" t="s">
        <v>9</v>
      </c>
    </row>
    <row r="136">
      <c r="A136" s="13">
        <v>1.0</v>
      </c>
      <c r="B136" s="15" t="s">
        <v>38</v>
      </c>
      <c r="C136" s="19">
        <v>45778.0</v>
      </c>
      <c r="D136" s="22">
        <v>2004.04</v>
      </c>
      <c r="E136" s="25"/>
      <c r="F136" s="28"/>
    </row>
    <row r="137">
      <c r="A137" s="30" t="s">
        <v>21</v>
      </c>
      <c r="B137" s="31"/>
      <c r="C137" s="32"/>
      <c r="D137" s="24">
        <f>round(D136*(1+5.26%),2)</f>
        <v>2109.45</v>
      </c>
      <c r="E137" s="38"/>
      <c r="F137" s="28"/>
    </row>
    <row r="138">
      <c r="A138" s="30" t="s">
        <v>34</v>
      </c>
      <c r="B138" s="31"/>
      <c r="C138" s="32"/>
      <c r="D138" s="24">
        <f>round(D137*12%,2)</f>
        <v>253.13</v>
      </c>
      <c r="E138" s="38"/>
      <c r="F138" s="28"/>
    </row>
    <row r="139">
      <c r="A139" s="33" t="s">
        <v>9</v>
      </c>
      <c r="B139" s="31"/>
      <c r="C139" s="32"/>
      <c r="D139" s="39">
        <f>D137-D138</f>
        <v>1856.32</v>
      </c>
      <c r="E139" s="46">
        <v>26225.0</v>
      </c>
      <c r="F139" s="41">
        <f>D139*E139</f>
        <v>48681992</v>
      </c>
    </row>
    <row r="140">
      <c r="A140" s="33" t="s">
        <v>26</v>
      </c>
      <c r="B140" s="31"/>
      <c r="C140" s="32"/>
      <c r="D140" s="39"/>
      <c r="E140" s="46"/>
      <c r="F140" s="41">
        <f>round(F139*10%,0)</f>
        <v>4868199</v>
      </c>
    </row>
    <row r="141">
      <c r="A141" s="33" t="s">
        <v>16</v>
      </c>
      <c r="B141" s="31"/>
      <c r="C141" s="32"/>
      <c r="D141" s="39"/>
      <c r="E141" s="46"/>
      <c r="F141" s="41">
        <f>F139+F140</f>
        <v>53550191</v>
      </c>
    </row>
    <row r="145">
      <c r="A145" s="2" t="s">
        <v>43</v>
      </c>
    </row>
    <row r="146">
      <c r="A146" s="5"/>
      <c r="B146" s="5"/>
      <c r="C146" s="5"/>
      <c r="D146" s="5"/>
      <c r="E146" s="5"/>
      <c r="F146" s="5"/>
    </row>
    <row r="147">
      <c r="A147" s="9" t="s">
        <v>4</v>
      </c>
      <c r="B147" s="9" t="s">
        <v>5</v>
      </c>
      <c r="C147" s="9" t="s">
        <v>6</v>
      </c>
      <c r="D147" s="9" t="s">
        <v>7</v>
      </c>
      <c r="E147" s="9" t="s">
        <v>8</v>
      </c>
      <c r="F147" s="9" t="s">
        <v>9</v>
      </c>
    </row>
    <row r="148">
      <c r="A148" s="13">
        <v>1.0</v>
      </c>
      <c r="B148" s="15" t="s">
        <v>38</v>
      </c>
      <c r="C148" s="19">
        <v>45809.0</v>
      </c>
      <c r="D148" s="22">
        <v>2004.04</v>
      </c>
      <c r="E148" s="25"/>
      <c r="F148" s="28"/>
    </row>
    <row r="149">
      <c r="A149" s="30" t="s">
        <v>21</v>
      </c>
      <c r="B149" s="31"/>
      <c r="C149" s="32"/>
      <c r="D149" s="24">
        <f>round(D148*(1+5.26%),2)</f>
        <v>2109.45</v>
      </c>
      <c r="E149" s="38"/>
      <c r="F149" s="28"/>
    </row>
    <row r="150">
      <c r="A150" s="30" t="s">
        <v>34</v>
      </c>
      <c r="B150" s="31"/>
      <c r="C150" s="32"/>
      <c r="D150" s="24">
        <f>round(D149*12%,2)</f>
        <v>253.13</v>
      </c>
      <c r="E150" s="38"/>
      <c r="F150" s="28"/>
    </row>
    <row r="151">
      <c r="A151" s="33" t="s">
        <v>9</v>
      </c>
      <c r="B151" s="31"/>
      <c r="C151" s="32"/>
      <c r="D151" s="39">
        <f>D149-D150</f>
        <v>1856.32</v>
      </c>
      <c r="E151" s="46">
        <v>26300.0</v>
      </c>
      <c r="F151" s="41">
        <f>D151*E151</f>
        <v>48821216</v>
      </c>
    </row>
    <row r="152">
      <c r="A152" s="33" t="s">
        <v>26</v>
      </c>
      <c r="B152" s="31"/>
      <c r="C152" s="32"/>
      <c r="D152" s="39"/>
      <c r="E152" s="46"/>
      <c r="F152" s="41">
        <f>round(F151*10%,0)</f>
        <v>4882122</v>
      </c>
    </row>
    <row r="153">
      <c r="A153" s="33" t="s">
        <v>16</v>
      </c>
      <c r="B153" s="31"/>
      <c r="C153" s="32"/>
      <c r="D153" s="39"/>
      <c r="E153" s="46"/>
      <c r="F153" s="41">
        <f>F151+F152</f>
        <v>53703338</v>
      </c>
    </row>
    <row r="157">
      <c r="A157" s="73" t="s">
        <v>43</v>
      </c>
    </row>
    <row r="158">
      <c r="A158" s="74"/>
      <c r="B158" s="74"/>
      <c r="C158" s="74"/>
      <c r="D158" s="74"/>
      <c r="E158" s="74"/>
      <c r="F158" s="74"/>
    </row>
    <row r="159">
      <c r="A159" s="75" t="s">
        <v>4</v>
      </c>
      <c r="B159" s="75" t="s">
        <v>5</v>
      </c>
      <c r="C159" s="75" t="s">
        <v>6</v>
      </c>
      <c r="D159" s="75" t="s">
        <v>7</v>
      </c>
      <c r="E159" s="75" t="s">
        <v>8</v>
      </c>
      <c r="F159" s="75" t="s">
        <v>9</v>
      </c>
    </row>
    <row r="160">
      <c r="A160" s="76">
        <v>1.0</v>
      </c>
      <c r="B160" s="77" t="s">
        <v>38</v>
      </c>
      <c r="C160" s="19">
        <v>45839.0</v>
      </c>
      <c r="D160" s="78">
        <v>2004.04</v>
      </c>
      <c r="E160" s="79"/>
      <c r="F160" s="80"/>
    </row>
    <row r="161">
      <c r="A161" s="81" t="s">
        <v>32</v>
      </c>
      <c r="B161" s="31"/>
      <c r="C161" s="32"/>
      <c r="D161" s="82">
        <f>round(D160*(1+10%),2)</f>
        <v>2204.44</v>
      </c>
      <c r="E161" s="83"/>
      <c r="F161" s="80"/>
    </row>
    <row r="162">
      <c r="A162" s="84" t="s">
        <v>34</v>
      </c>
      <c r="B162" s="31"/>
      <c r="C162" s="32"/>
      <c r="D162" s="82">
        <f>round(D161*12%,2)</f>
        <v>264.53</v>
      </c>
      <c r="E162" s="83"/>
      <c r="F162" s="80"/>
    </row>
    <row r="163">
      <c r="A163" s="85" t="s">
        <v>9</v>
      </c>
      <c r="B163" s="31"/>
      <c r="C163" s="32"/>
      <c r="D163" s="86">
        <f>D161-D162</f>
        <v>1939.91</v>
      </c>
      <c r="E163" s="46">
        <v>26382.0</v>
      </c>
      <c r="F163" s="87">
        <f>D163*E163</f>
        <v>51178705.62</v>
      </c>
    </row>
    <row r="164">
      <c r="A164" s="85" t="s">
        <v>26</v>
      </c>
      <c r="B164" s="31"/>
      <c r="C164" s="32"/>
      <c r="D164" s="88"/>
      <c r="E164" s="79"/>
      <c r="F164" s="87">
        <f>round(F163*10%,0)</f>
        <v>5117871</v>
      </c>
    </row>
    <row r="165">
      <c r="A165" s="85" t="s">
        <v>16</v>
      </c>
      <c r="B165" s="31"/>
      <c r="C165" s="32"/>
      <c r="D165" s="88"/>
      <c r="E165" s="79"/>
      <c r="F165" s="87">
        <f>F163+F164</f>
        <v>56296576.62</v>
      </c>
    </row>
    <row r="169">
      <c r="A169" s="73" t="s">
        <v>43</v>
      </c>
    </row>
    <row r="170">
      <c r="A170" s="74"/>
      <c r="B170" s="74"/>
      <c r="C170" s="74"/>
      <c r="D170" s="74"/>
      <c r="E170" s="74"/>
      <c r="F170" s="74"/>
    </row>
    <row r="171">
      <c r="A171" s="75" t="s">
        <v>4</v>
      </c>
      <c r="B171" s="75" t="s">
        <v>5</v>
      </c>
      <c r="C171" s="75" t="s">
        <v>6</v>
      </c>
      <c r="D171" s="75" t="s">
        <v>7</v>
      </c>
      <c r="E171" s="75" t="s">
        <v>8</v>
      </c>
      <c r="F171" s="75" t="s">
        <v>9</v>
      </c>
    </row>
    <row r="172">
      <c r="A172" s="76">
        <v>1.0</v>
      </c>
      <c r="B172" s="77" t="s">
        <v>38</v>
      </c>
      <c r="C172" s="19">
        <v>45870.0</v>
      </c>
      <c r="D172" s="78">
        <v>1925.85</v>
      </c>
      <c r="E172" s="79"/>
      <c r="F172" s="80"/>
    </row>
    <row r="173">
      <c r="A173" s="81" t="s">
        <v>32</v>
      </c>
      <c r="B173" s="31"/>
      <c r="C173" s="32"/>
      <c r="D173" s="82">
        <f>round(D172*(1+10%),2)</f>
        <v>2118.44</v>
      </c>
      <c r="E173" s="83"/>
      <c r="F173" s="80"/>
    </row>
    <row r="174">
      <c r="A174" s="84" t="s">
        <v>34</v>
      </c>
      <c r="B174" s="31"/>
      <c r="C174" s="32"/>
      <c r="D174" s="82">
        <f>round(D173*12%,2)</f>
        <v>254.21</v>
      </c>
      <c r="E174" s="83"/>
      <c r="F174" s="80"/>
    </row>
    <row r="175">
      <c r="A175" s="85" t="s">
        <v>9</v>
      </c>
      <c r="B175" s="31"/>
      <c r="C175" s="32"/>
      <c r="D175" s="86">
        <f>D173-D174</f>
        <v>1864.23</v>
      </c>
      <c r="E175" s="46">
        <v>26502.0</v>
      </c>
      <c r="F175" s="87">
        <f>D175*E175</f>
        <v>49405823.46</v>
      </c>
    </row>
    <row r="176">
      <c r="A176" s="85" t="s">
        <v>26</v>
      </c>
      <c r="B176" s="31"/>
      <c r="C176" s="32"/>
      <c r="D176" s="88"/>
      <c r="E176" s="79"/>
      <c r="F176" s="87">
        <f>round(F175*10%,0)</f>
        <v>4940582</v>
      </c>
    </row>
    <row r="177">
      <c r="A177" s="85" t="s">
        <v>16</v>
      </c>
      <c r="B177" s="31"/>
      <c r="C177" s="32"/>
      <c r="D177" s="88"/>
      <c r="E177" s="79"/>
      <c r="F177" s="87">
        <f>F175+F176</f>
        <v>54346405.46</v>
      </c>
    </row>
    <row r="183">
      <c r="A183" s="73" t="s">
        <v>43</v>
      </c>
    </row>
    <row r="184">
      <c r="A184" s="74"/>
      <c r="B184" s="74"/>
      <c r="C184" s="74"/>
      <c r="D184" s="74"/>
      <c r="E184" s="74"/>
      <c r="F184" s="74"/>
    </row>
    <row r="185">
      <c r="A185" s="75" t="s">
        <v>4</v>
      </c>
      <c r="B185" s="75" t="s">
        <v>5</v>
      </c>
      <c r="C185" s="75" t="s">
        <v>6</v>
      </c>
      <c r="D185" s="75" t="s">
        <v>7</v>
      </c>
      <c r="E185" s="75" t="s">
        <v>8</v>
      </c>
      <c r="F185" s="75" t="s">
        <v>9</v>
      </c>
    </row>
    <row r="186">
      <c r="A186" s="76">
        <v>1.0</v>
      </c>
      <c r="B186" s="77" t="s">
        <v>38</v>
      </c>
      <c r="C186" s="19">
        <v>45901.0</v>
      </c>
      <c r="D186" s="78">
        <v>1836.52</v>
      </c>
      <c r="E186" s="79"/>
      <c r="F186" s="80"/>
    </row>
    <row r="187">
      <c r="A187" s="81" t="s">
        <v>32</v>
      </c>
      <c r="B187" s="31"/>
      <c r="C187" s="32"/>
      <c r="D187" s="82">
        <f>round(D186*(1+10%),2)</f>
        <v>2020.17</v>
      </c>
      <c r="E187" s="83"/>
      <c r="F187" s="80"/>
    </row>
    <row r="188">
      <c r="A188" s="84" t="s">
        <v>34</v>
      </c>
      <c r="B188" s="31"/>
      <c r="C188" s="32"/>
      <c r="D188" s="82">
        <f>round(D187*12%,2)</f>
        <v>242.42</v>
      </c>
      <c r="E188" s="83"/>
      <c r="F188" s="80"/>
    </row>
    <row r="189">
      <c r="A189" s="85" t="s">
        <v>9</v>
      </c>
      <c r="B189" s="31"/>
      <c r="C189" s="32"/>
      <c r="D189" s="86">
        <f>D187-D188</f>
        <v>1777.75</v>
      </c>
      <c r="E189" s="46">
        <v>26446.0</v>
      </c>
      <c r="F189" s="87">
        <f>D189*E189</f>
        <v>47014376.5</v>
      </c>
    </row>
    <row r="190">
      <c r="A190" s="85" t="s">
        <v>26</v>
      </c>
      <c r="B190" s="31"/>
      <c r="C190" s="32"/>
      <c r="D190" s="88"/>
      <c r="E190" s="79"/>
      <c r="F190" s="87">
        <f>round(F189*10%,0)</f>
        <v>4701438</v>
      </c>
    </row>
    <row r="191">
      <c r="A191" s="85" t="s">
        <v>16</v>
      </c>
      <c r="B191" s="31"/>
      <c r="C191" s="32"/>
      <c r="D191" s="88"/>
      <c r="E191" s="79"/>
      <c r="F191" s="87">
        <f>F189+F190</f>
        <v>51715814.5</v>
      </c>
    </row>
    <row r="197">
      <c r="A197" s="73" t="s">
        <v>43</v>
      </c>
    </row>
    <row r="198">
      <c r="A198" s="74"/>
      <c r="B198" s="74"/>
      <c r="C198" s="74"/>
      <c r="D198" s="74"/>
      <c r="E198" s="74"/>
      <c r="F198" s="74"/>
    </row>
    <row r="199">
      <c r="A199" s="75" t="s">
        <v>4</v>
      </c>
      <c r="B199" s="75" t="s">
        <v>5</v>
      </c>
      <c r="C199" s="75" t="s">
        <v>6</v>
      </c>
      <c r="D199" s="75" t="s">
        <v>7</v>
      </c>
      <c r="E199" s="75" t="s">
        <v>8</v>
      </c>
      <c r="F199" s="75" t="s">
        <v>9</v>
      </c>
    </row>
    <row r="200">
      <c r="A200" s="76">
        <v>1.0</v>
      </c>
      <c r="B200" s="77" t="s">
        <v>38</v>
      </c>
      <c r="C200" s="19">
        <v>45931.0</v>
      </c>
      <c r="D200" s="78">
        <v>1816.04</v>
      </c>
      <c r="E200" s="79"/>
      <c r="F200" s="80"/>
    </row>
    <row r="201">
      <c r="A201" s="81" t="s">
        <v>32</v>
      </c>
      <c r="B201" s="31"/>
      <c r="C201" s="32"/>
      <c r="D201" s="82">
        <f>round(D200*(1+10%),2)</f>
        <v>1997.64</v>
      </c>
      <c r="E201" s="83"/>
      <c r="F201" s="80"/>
    </row>
    <row r="202">
      <c r="A202" s="84" t="s">
        <v>34</v>
      </c>
      <c r="B202" s="31"/>
      <c r="C202" s="32"/>
      <c r="D202" s="82">
        <f>round(D201*12%,2)</f>
        <v>239.72</v>
      </c>
      <c r="E202" s="83"/>
      <c r="F202" s="80"/>
    </row>
    <row r="203">
      <c r="A203" s="85" t="s">
        <v>9</v>
      </c>
      <c r="B203" s="31"/>
      <c r="C203" s="32"/>
      <c r="D203" s="86">
        <f>D201-D202</f>
        <v>1757.92</v>
      </c>
      <c r="E203" s="46">
        <v>26347.0</v>
      </c>
      <c r="F203" s="87">
        <f>D203*E203</f>
        <v>46315918.24</v>
      </c>
    </row>
    <row r="204">
      <c r="A204" s="85" t="s">
        <v>26</v>
      </c>
      <c r="B204" s="31"/>
      <c r="C204" s="32"/>
      <c r="D204" s="88"/>
      <c r="E204" s="79"/>
      <c r="F204" s="87">
        <f>round(F203*10%,0)</f>
        <v>4631592</v>
      </c>
    </row>
    <row r="205">
      <c r="A205" s="85" t="s">
        <v>16</v>
      </c>
      <c r="B205" s="31"/>
      <c r="C205" s="32"/>
      <c r="D205" s="88"/>
      <c r="E205" s="79"/>
      <c r="F205" s="87">
        <f>F203+F204</f>
        <v>50947510.24</v>
      </c>
    </row>
    <row r="211">
      <c r="A211" s="73" t="s">
        <v>43</v>
      </c>
    </row>
    <row r="212">
      <c r="A212" s="74"/>
      <c r="B212" s="74"/>
      <c r="C212" s="74"/>
      <c r="D212" s="74"/>
      <c r="E212" s="74"/>
      <c r="F212" s="74"/>
    </row>
    <row r="213">
      <c r="A213" s="75" t="s">
        <v>4</v>
      </c>
      <c r="B213" s="75" t="s">
        <v>5</v>
      </c>
      <c r="C213" s="75" t="s">
        <v>6</v>
      </c>
      <c r="D213" s="75" t="s">
        <v>7</v>
      </c>
      <c r="E213" s="75" t="s">
        <v>8</v>
      </c>
      <c r="F213" s="75" t="s">
        <v>9</v>
      </c>
    </row>
    <row r="214">
      <c r="A214" s="76">
        <v>1.0</v>
      </c>
      <c r="B214" s="77" t="s">
        <v>38</v>
      </c>
      <c r="C214" s="19">
        <v>45962.0</v>
      </c>
      <c r="D214" s="78">
        <v>1816.04</v>
      </c>
      <c r="E214" s="79"/>
      <c r="F214" s="80"/>
    </row>
    <row r="215">
      <c r="A215" s="81" t="s">
        <v>32</v>
      </c>
      <c r="B215" s="31"/>
      <c r="C215" s="32"/>
      <c r="D215" s="82">
        <f>round(D214*(1+10%),2)</f>
        <v>1997.64</v>
      </c>
      <c r="E215" s="83"/>
      <c r="F215" s="80"/>
    </row>
    <row r="216">
      <c r="A216" s="84" t="s">
        <v>34</v>
      </c>
      <c r="B216" s="31"/>
      <c r="C216" s="32"/>
      <c r="D216" s="82">
        <f>round(D215*12%,2)</f>
        <v>239.72</v>
      </c>
      <c r="E216" s="83"/>
      <c r="F216" s="80"/>
    </row>
    <row r="217">
      <c r="A217" s="85" t="s">
        <v>9</v>
      </c>
      <c r="B217" s="31"/>
      <c r="C217" s="32"/>
      <c r="D217" s="86">
        <f>D215-D216</f>
        <v>1757.92</v>
      </c>
      <c r="E217" s="46">
        <v>26412.0</v>
      </c>
      <c r="F217" s="87">
        <f>D217*E217</f>
        <v>46430183.04</v>
      </c>
    </row>
    <row r="218">
      <c r="A218" s="85" t="s">
        <v>26</v>
      </c>
      <c r="B218" s="31"/>
      <c r="C218" s="32"/>
      <c r="D218" s="88"/>
      <c r="E218" s="79"/>
      <c r="F218" s="87">
        <f>round(F217*10%,0)</f>
        <v>4643018</v>
      </c>
    </row>
    <row r="219">
      <c r="A219" s="85" t="s">
        <v>16</v>
      </c>
      <c r="B219" s="31"/>
      <c r="C219" s="32"/>
      <c r="D219" s="88"/>
      <c r="E219" s="79"/>
      <c r="F219" s="87">
        <f>F217+F218</f>
        <v>51073201.04</v>
      </c>
    </row>
    <row r="225">
      <c r="A225" s="73" t="s">
        <v>43</v>
      </c>
    </row>
    <row r="226">
      <c r="A226" s="74"/>
      <c r="B226" s="74"/>
      <c r="C226" s="74"/>
      <c r="D226" s="74"/>
      <c r="E226" s="74"/>
      <c r="F226" s="74"/>
    </row>
    <row r="227">
      <c r="A227" s="75" t="s">
        <v>4</v>
      </c>
      <c r="B227" s="75" t="s">
        <v>5</v>
      </c>
      <c r="C227" s="75" t="s">
        <v>6</v>
      </c>
      <c r="D227" s="75" t="s">
        <v>7</v>
      </c>
      <c r="E227" s="75" t="s">
        <v>8</v>
      </c>
      <c r="F227" s="75" t="s">
        <v>9</v>
      </c>
    </row>
    <row r="228">
      <c r="A228" s="76">
        <v>1.0</v>
      </c>
      <c r="B228" s="77" t="s">
        <v>38</v>
      </c>
      <c r="C228" s="19">
        <v>45992.0</v>
      </c>
      <c r="D228" s="78">
        <v>1816.04</v>
      </c>
      <c r="E228" s="79"/>
      <c r="F228" s="80"/>
    </row>
    <row r="229">
      <c r="A229" s="81" t="s">
        <v>32</v>
      </c>
      <c r="B229" s="31"/>
      <c r="C229" s="32"/>
      <c r="D229" s="82">
        <f>round(D228*(1+10%),2)</f>
        <v>1997.64</v>
      </c>
      <c r="E229" s="83"/>
      <c r="F229" s="80"/>
    </row>
    <row r="230">
      <c r="A230" s="84" t="s">
        <v>34</v>
      </c>
      <c r="B230" s="31"/>
      <c r="C230" s="32"/>
      <c r="D230" s="82">
        <f>round(D229*12%,2)</f>
        <v>239.72</v>
      </c>
      <c r="E230" s="83"/>
      <c r="F230" s="80"/>
    </row>
    <row r="231">
      <c r="A231" s="85" t="s">
        <v>9</v>
      </c>
      <c r="B231" s="31"/>
      <c r="C231" s="32"/>
      <c r="D231" s="86">
        <f>D229-D230</f>
        <v>1757.92</v>
      </c>
      <c r="E231" s="46">
        <v>26377.0</v>
      </c>
      <c r="F231" s="87">
        <f>D231*E231</f>
        <v>46368655.84</v>
      </c>
    </row>
    <row r="232">
      <c r="A232" s="85" t="s">
        <v>26</v>
      </c>
      <c r="B232" s="31"/>
      <c r="C232" s="32"/>
      <c r="D232" s="88"/>
      <c r="E232" s="79"/>
      <c r="F232" s="87">
        <f>round(F231*10%,0)</f>
        <v>4636866</v>
      </c>
    </row>
    <row r="233">
      <c r="A233" s="85" t="s">
        <v>16</v>
      </c>
      <c r="B233" s="31"/>
      <c r="C233" s="32"/>
      <c r="D233" s="88"/>
      <c r="E233" s="79"/>
      <c r="F233" s="87">
        <f>F231+F232</f>
        <v>51005521.84</v>
      </c>
    </row>
    <row r="239">
      <c r="A239" s="73" t="s">
        <v>43</v>
      </c>
    </row>
    <row r="240">
      <c r="A240" s="74"/>
      <c r="B240" s="74"/>
      <c r="C240" s="74"/>
      <c r="D240" s="74"/>
      <c r="E240" s="74"/>
      <c r="F240" s="74"/>
    </row>
    <row r="241">
      <c r="A241" s="75" t="s">
        <v>4</v>
      </c>
      <c r="B241" s="75" t="s">
        <v>5</v>
      </c>
      <c r="C241" s="75" t="s">
        <v>6</v>
      </c>
      <c r="D241" s="75" t="s">
        <v>7</v>
      </c>
      <c r="E241" s="75" t="s">
        <v>8</v>
      </c>
      <c r="F241" s="75" t="s">
        <v>9</v>
      </c>
    </row>
    <row r="242">
      <c r="A242" s="76">
        <v>1.0</v>
      </c>
      <c r="B242" s="77" t="s">
        <v>38</v>
      </c>
      <c r="C242" s="19">
        <v>46023.0</v>
      </c>
      <c r="D242" s="78">
        <v>1754.19</v>
      </c>
      <c r="E242" s="79"/>
      <c r="F242" s="80"/>
    </row>
    <row r="243">
      <c r="A243" s="81" t="s">
        <v>32</v>
      </c>
      <c r="B243" s="31"/>
      <c r="C243" s="32"/>
      <c r="D243" s="82">
        <f>round(D242*(1+10%),2)</f>
        <v>1929.61</v>
      </c>
      <c r="E243" s="83"/>
      <c r="F243" s="80"/>
    </row>
    <row r="244">
      <c r="A244" s="84" t="s">
        <v>34</v>
      </c>
      <c r="B244" s="31"/>
      <c r="C244" s="32"/>
      <c r="D244" s="82">
        <f>round(D243*12%,2)</f>
        <v>231.55</v>
      </c>
      <c r="E244" s="83"/>
      <c r="F244" s="80"/>
    </row>
    <row r="245">
      <c r="A245" s="85" t="s">
        <v>9</v>
      </c>
      <c r="B245" s="31"/>
      <c r="C245" s="32"/>
      <c r="D245" s="86">
        <f>D243-D244</f>
        <v>1698.06</v>
      </c>
      <c r="E245" s="46">
        <v>26145.0</v>
      </c>
      <c r="F245" s="87">
        <f>D245*E245</f>
        <v>44395778.7</v>
      </c>
    </row>
    <row r="246">
      <c r="A246" s="85" t="s">
        <v>26</v>
      </c>
      <c r="B246" s="31"/>
      <c r="C246" s="32"/>
      <c r="D246" s="88"/>
      <c r="E246" s="79"/>
      <c r="F246" s="87">
        <f>round(F245*10%,0)</f>
        <v>4439578</v>
      </c>
    </row>
    <row r="247">
      <c r="A247" s="85" t="s">
        <v>16</v>
      </c>
      <c r="B247" s="31"/>
      <c r="C247" s="32"/>
      <c r="D247" s="88"/>
      <c r="E247" s="79"/>
      <c r="F247" s="87">
        <f>F245+F246</f>
        <v>48835356.7</v>
      </c>
    </row>
    <row r="253">
      <c r="A253" s="73" t="s">
        <v>43</v>
      </c>
    </row>
    <row r="254">
      <c r="A254" s="74"/>
      <c r="B254" s="74"/>
      <c r="C254" s="74"/>
      <c r="D254" s="74"/>
      <c r="E254" s="74"/>
      <c r="F254" s="74"/>
    </row>
    <row r="255">
      <c r="A255" s="75" t="s">
        <v>4</v>
      </c>
      <c r="B255" s="75" t="s">
        <v>5</v>
      </c>
      <c r="C255" s="75" t="s">
        <v>6</v>
      </c>
      <c r="D255" s="75" t="s">
        <v>7</v>
      </c>
      <c r="E255" s="75" t="s">
        <v>8</v>
      </c>
      <c r="F255" s="75" t="s">
        <v>9</v>
      </c>
    </row>
    <row r="256">
      <c r="A256" s="76">
        <v>1.0</v>
      </c>
      <c r="B256" s="77" t="s">
        <v>38</v>
      </c>
      <c r="C256" s="19">
        <v>46054.0</v>
      </c>
      <c r="D256" s="78">
        <v>1672.04</v>
      </c>
      <c r="E256" s="79"/>
      <c r="F256" s="80"/>
    </row>
    <row r="257">
      <c r="A257" s="81" t="s">
        <v>32</v>
      </c>
      <c r="B257" s="31"/>
      <c r="C257" s="32"/>
      <c r="D257" s="82">
        <f>round(D256*(1+10%),2)</f>
        <v>1839.24</v>
      </c>
      <c r="E257" s="83"/>
      <c r="F257" s="80"/>
    </row>
    <row r="258">
      <c r="A258" s="84" t="s">
        <v>34</v>
      </c>
      <c r="B258" s="31"/>
      <c r="C258" s="32"/>
      <c r="D258" s="82">
        <f>round(D257*12%,2)</f>
        <v>220.71</v>
      </c>
      <c r="E258" s="83"/>
      <c r="F258" s="80"/>
    </row>
    <row r="259">
      <c r="A259" s="85" t="s">
        <v>9</v>
      </c>
      <c r="B259" s="31"/>
      <c r="C259" s="32"/>
      <c r="D259" s="86">
        <f>D257-D258</f>
        <v>1618.53</v>
      </c>
      <c r="E259" s="46">
        <v>26240.0</v>
      </c>
      <c r="F259" s="87">
        <f>D259*E259</f>
        <v>42470227.2</v>
      </c>
    </row>
    <row r="260">
      <c r="A260" s="85" t="s">
        <v>26</v>
      </c>
      <c r="B260" s="31"/>
      <c r="C260" s="32"/>
      <c r="D260" s="88"/>
      <c r="E260" s="79"/>
      <c r="F260" s="87">
        <f>round(F259*10%,0)</f>
        <v>4247023</v>
      </c>
    </row>
    <row r="261">
      <c r="A261" s="85" t="s">
        <v>16</v>
      </c>
      <c r="B261" s="31"/>
      <c r="C261" s="32"/>
      <c r="D261" s="88"/>
      <c r="E261" s="79"/>
      <c r="F261" s="87">
        <f>F259+F260</f>
        <v>46717250.2</v>
      </c>
    </row>
    <row r="267">
      <c r="A267" s="73" t="s">
        <v>43</v>
      </c>
    </row>
    <row r="268">
      <c r="A268" s="74"/>
      <c r="B268" s="74"/>
      <c r="C268" s="74"/>
      <c r="D268" s="74"/>
      <c r="E268" s="74"/>
      <c r="F268" s="74"/>
    </row>
    <row r="269">
      <c r="A269" s="75" t="s">
        <v>4</v>
      </c>
      <c r="B269" s="75" t="s">
        <v>5</v>
      </c>
      <c r="C269" s="75" t="s">
        <v>6</v>
      </c>
      <c r="D269" s="75" t="s">
        <v>7</v>
      </c>
      <c r="E269" s="75" t="s">
        <v>8</v>
      </c>
      <c r="F269" s="75" t="s">
        <v>9</v>
      </c>
    </row>
    <row r="270">
      <c r="A270" s="76">
        <v>1.0</v>
      </c>
      <c r="B270" s="77" t="s">
        <v>38</v>
      </c>
      <c r="C270" s="19">
        <v>46082.0</v>
      </c>
      <c r="D270" s="78">
        <v>1735.49</v>
      </c>
      <c r="E270" s="79"/>
      <c r="F270" s="80"/>
    </row>
    <row r="271">
      <c r="A271" s="81" t="s">
        <v>32</v>
      </c>
      <c r="B271" s="31"/>
      <c r="C271" s="32"/>
      <c r="D271" s="82">
        <f>round(D270*(1+10%),2)</f>
        <v>1909.04</v>
      </c>
      <c r="E271" s="83"/>
      <c r="F271" s="80"/>
    </row>
    <row r="272">
      <c r="A272" s="84" t="s">
        <v>34</v>
      </c>
      <c r="B272" s="31"/>
      <c r="C272" s="32"/>
      <c r="D272" s="82">
        <f>round(D271*12%,2)</f>
        <v>229.08</v>
      </c>
      <c r="E272" s="83"/>
      <c r="F272" s="80"/>
    </row>
    <row r="273">
      <c r="A273" s="85" t="s">
        <v>9</v>
      </c>
      <c r="B273" s="31"/>
      <c r="C273" s="32"/>
      <c r="D273" s="86">
        <f>D271-D272</f>
        <v>1679.96</v>
      </c>
      <c r="E273" s="46">
        <v>26357.0</v>
      </c>
      <c r="F273" s="87">
        <f>D273*E273</f>
        <v>44278705.72</v>
      </c>
    </row>
    <row r="274">
      <c r="A274" s="85" t="s">
        <v>26</v>
      </c>
      <c r="B274" s="31"/>
      <c r="C274" s="32"/>
      <c r="D274" s="88"/>
      <c r="E274" s="79"/>
      <c r="F274" s="87">
        <f>round(F273*10%,0)</f>
        <v>4427871</v>
      </c>
    </row>
    <row r="275">
      <c r="A275" s="85" t="s">
        <v>16</v>
      </c>
      <c r="B275" s="31"/>
      <c r="C275" s="32"/>
      <c r="D275" s="88"/>
      <c r="E275" s="79"/>
      <c r="F275" s="87">
        <f>F273+F274</f>
        <v>48706576.72</v>
      </c>
    </row>
    <row r="281">
      <c r="A281" s="73" t="s">
        <v>43</v>
      </c>
    </row>
    <row r="282">
      <c r="A282" s="74"/>
      <c r="B282" s="74"/>
      <c r="C282" s="74"/>
      <c r="D282" s="74"/>
      <c r="E282" s="74"/>
      <c r="F282" s="74"/>
    </row>
    <row r="283">
      <c r="A283" s="75" t="s">
        <v>4</v>
      </c>
      <c r="B283" s="75" t="s">
        <v>5</v>
      </c>
      <c r="C283" s="75" t="s">
        <v>6</v>
      </c>
      <c r="D283" s="75" t="s">
        <v>7</v>
      </c>
      <c r="E283" s="75" t="s">
        <v>8</v>
      </c>
      <c r="F283" s="75" t="s">
        <v>9</v>
      </c>
    </row>
    <row r="284">
      <c r="A284" s="76">
        <v>1.0</v>
      </c>
      <c r="B284" s="77" t="s">
        <v>38</v>
      </c>
      <c r="C284" s="19">
        <v>46113.0</v>
      </c>
      <c r="D284" s="78">
        <v>1829.84</v>
      </c>
      <c r="E284" s="79"/>
      <c r="F284" s="80"/>
    </row>
    <row r="285">
      <c r="A285" s="81" t="s">
        <v>32</v>
      </c>
      <c r="B285" s="31"/>
      <c r="C285" s="32"/>
      <c r="D285" s="82">
        <f>round(D284*(1+10%),2)</f>
        <v>2012.82</v>
      </c>
      <c r="E285" s="83"/>
      <c r="F285" s="80"/>
    </row>
    <row r="286">
      <c r="A286" s="84" t="s">
        <v>34</v>
      </c>
      <c r="B286" s="31"/>
      <c r="C286" s="32"/>
      <c r="D286" s="82">
        <f>round(D285*12%,2)</f>
        <v>241.54</v>
      </c>
      <c r="E286" s="83"/>
      <c r="F286" s="80"/>
    </row>
    <row r="287">
      <c r="A287" s="85" t="s">
        <v>9</v>
      </c>
      <c r="B287" s="31"/>
      <c r="C287" s="32"/>
      <c r="D287" s="86">
        <f>D285-D286</f>
        <v>1771.28</v>
      </c>
      <c r="E287" s="46">
        <v>26368.0</v>
      </c>
      <c r="F287" s="87">
        <f>D287*E287</f>
        <v>46705111.04</v>
      </c>
    </row>
    <row r="288">
      <c r="A288" s="85" t="s">
        <v>26</v>
      </c>
      <c r="B288" s="31"/>
      <c r="C288" s="32"/>
      <c r="D288" s="88"/>
      <c r="E288" s="79"/>
      <c r="F288" s="87">
        <f>round(F287*10%,0)</f>
        <v>4670511</v>
      </c>
    </row>
    <row r="289">
      <c r="A289" s="85" t="s">
        <v>16</v>
      </c>
      <c r="B289" s="31"/>
      <c r="C289" s="32"/>
      <c r="D289" s="88"/>
      <c r="E289" s="79"/>
      <c r="F289" s="87">
        <f>F287+F288</f>
        <v>51375622.04</v>
      </c>
    </row>
    <row r="295">
      <c r="A295" s="73" t="s">
        <v>43</v>
      </c>
    </row>
    <row r="296">
      <c r="A296" s="74"/>
      <c r="B296" s="74"/>
      <c r="C296" s="74"/>
      <c r="D296" s="74"/>
      <c r="E296" s="74"/>
      <c r="F296" s="74"/>
    </row>
    <row r="297">
      <c r="A297" s="75" t="s">
        <v>4</v>
      </c>
      <c r="B297" s="75" t="s">
        <v>5</v>
      </c>
      <c r="C297" s="75" t="s">
        <v>6</v>
      </c>
      <c r="D297" s="75" t="s">
        <v>7</v>
      </c>
      <c r="E297" s="75" t="s">
        <v>8</v>
      </c>
      <c r="F297" s="75" t="s">
        <v>9</v>
      </c>
    </row>
    <row r="298">
      <c r="A298" s="76">
        <v>1.0</v>
      </c>
      <c r="B298" s="77" t="s">
        <v>38</v>
      </c>
      <c r="C298" s="19">
        <v>46143.0</v>
      </c>
      <c r="D298" s="78">
        <v>1866.97</v>
      </c>
      <c r="E298" s="79"/>
      <c r="F298" s="80"/>
    </row>
    <row r="299">
      <c r="A299" s="81" t="s">
        <v>32</v>
      </c>
      <c r="B299" s="31"/>
      <c r="C299" s="32"/>
      <c r="D299" s="82">
        <f>round(D298*(1+10%),2)</f>
        <v>2053.67</v>
      </c>
      <c r="E299" s="83"/>
      <c r="F299" s="80"/>
    </row>
    <row r="300">
      <c r="A300" s="84" t="s">
        <v>34</v>
      </c>
      <c r="B300" s="31"/>
      <c r="C300" s="32"/>
      <c r="D300" s="82">
        <f>round(D299*12%,2)</f>
        <v>246.44</v>
      </c>
      <c r="E300" s="83"/>
      <c r="F300" s="80"/>
    </row>
    <row r="301">
      <c r="A301" s="85" t="s">
        <v>9</v>
      </c>
      <c r="B301" s="31"/>
      <c r="C301" s="32"/>
      <c r="D301" s="86">
        <f>D299-D300</f>
        <v>1807.23</v>
      </c>
      <c r="E301" s="46">
        <v>26395.0</v>
      </c>
      <c r="F301" s="87">
        <f>D301*E301</f>
        <v>47701835.85</v>
      </c>
    </row>
    <row r="302">
      <c r="A302" s="85" t="s">
        <v>26</v>
      </c>
      <c r="B302" s="31"/>
      <c r="C302" s="32"/>
      <c r="D302" s="88"/>
      <c r="E302" s="79"/>
      <c r="F302" s="87">
        <f>round(F301*10%,0)</f>
        <v>4770184</v>
      </c>
    </row>
    <row r="303">
      <c r="A303" s="85" t="s">
        <v>16</v>
      </c>
      <c r="B303" s="31"/>
      <c r="C303" s="32"/>
      <c r="D303" s="88"/>
      <c r="E303" s="79"/>
      <c r="F303" s="87">
        <f>F301+F302</f>
        <v>52472019.85</v>
      </c>
    </row>
    <row r="308">
      <c r="A308" s="73" t="s">
        <v>43</v>
      </c>
    </row>
    <row r="309">
      <c r="A309" s="74"/>
      <c r="B309" s="74"/>
      <c r="C309" s="74"/>
      <c r="D309" s="74"/>
      <c r="E309" s="74"/>
      <c r="F309" s="74"/>
    </row>
    <row r="310">
      <c r="A310" s="75" t="s">
        <v>4</v>
      </c>
      <c r="B310" s="75" t="s">
        <v>5</v>
      </c>
      <c r="C310" s="75" t="s">
        <v>6</v>
      </c>
      <c r="D310" s="75" t="s">
        <v>7</v>
      </c>
      <c r="E310" s="75" t="s">
        <v>8</v>
      </c>
      <c r="F310" s="75" t="s">
        <v>9</v>
      </c>
    </row>
    <row r="311">
      <c r="A311" s="76">
        <v>1.0</v>
      </c>
      <c r="B311" s="77" t="s">
        <v>38</v>
      </c>
      <c r="C311" s="19">
        <v>46174.0</v>
      </c>
      <c r="D311" s="78">
        <v>1965.69</v>
      </c>
      <c r="E311" s="79"/>
      <c r="F311" s="80"/>
    </row>
    <row r="312">
      <c r="A312" s="81" t="s">
        <v>32</v>
      </c>
      <c r="B312" s="31"/>
      <c r="C312" s="32"/>
      <c r="D312" s="82">
        <f>round(D311*(1+10%),2)</f>
        <v>2162.26</v>
      </c>
      <c r="E312" s="83"/>
      <c r="F312" s="80"/>
    </row>
    <row r="313">
      <c r="A313" s="84" t="s">
        <v>34</v>
      </c>
      <c r="B313" s="31"/>
      <c r="C313" s="32"/>
      <c r="D313" s="82">
        <f>round(D312*12%,2)</f>
        <v>259.47</v>
      </c>
      <c r="E313" s="83"/>
      <c r="F313" s="80"/>
    </row>
    <row r="314">
      <c r="A314" s="85" t="s">
        <v>9</v>
      </c>
      <c r="B314" s="31"/>
      <c r="C314" s="32"/>
      <c r="D314" s="86">
        <f>D312-D313</f>
        <v>1902.79</v>
      </c>
      <c r="E314" s="46">
        <v>26466.0</v>
      </c>
      <c r="F314" s="87">
        <f>D314*E314</f>
        <v>50359240.14</v>
      </c>
    </row>
    <row r="315">
      <c r="A315" s="85" t="s">
        <v>26</v>
      </c>
      <c r="B315" s="31"/>
      <c r="C315" s="32"/>
      <c r="D315" s="88"/>
      <c r="E315" s="79"/>
      <c r="F315" s="87">
        <f>round(F314*10%,0)</f>
        <v>5035924</v>
      </c>
    </row>
    <row r="316">
      <c r="A316" s="85" t="s">
        <v>16</v>
      </c>
      <c r="B316" s="31"/>
      <c r="C316" s="32"/>
      <c r="D316" s="88"/>
      <c r="E316" s="79"/>
      <c r="F316" s="87">
        <f>F314+F315</f>
        <v>55395164.14</v>
      </c>
    </row>
    <row r="322">
      <c r="A322" s="73" t="s">
        <v>43</v>
      </c>
    </row>
    <row r="323">
      <c r="A323" s="74"/>
      <c r="B323" s="74"/>
      <c r="C323" s="74"/>
      <c r="D323" s="74"/>
      <c r="E323" s="74"/>
      <c r="F323" s="74"/>
    </row>
    <row r="324">
      <c r="A324" s="75" t="s">
        <v>4</v>
      </c>
      <c r="B324" s="75" t="s">
        <v>5</v>
      </c>
      <c r="C324" s="75" t="s">
        <v>6</v>
      </c>
      <c r="D324" s="75" t="s">
        <v>7</v>
      </c>
      <c r="E324" s="75" t="s">
        <v>8</v>
      </c>
      <c r="F324" s="75" t="s">
        <v>9</v>
      </c>
    </row>
    <row r="325">
      <c r="A325" s="76">
        <v>1.0</v>
      </c>
      <c r="B325" s="77" t="s">
        <v>38</v>
      </c>
      <c r="C325" s="19">
        <v>46204.0</v>
      </c>
      <c r="D325" s="78">
        <v>2019.75</v>
      </c>
      <c r="E325" s="79"/>
      <c r="F325" s="80"/>
    </row>
    <row r="326">
      <c r="A326" s="81" t="s">
        <v>32</v>
      </c>
      <c r="B326" s="31"/>
      <c r="C326" s="32"/>
      <c r="D326" s="82">
        <f>round(D325*(1+10%),2)</f>
        <v>2221.73</v>
      </c>
      <c r="E326" s="83"/>
      <c r="F326" s="80"/>
    </row>
    <row r="327">
      <c r="A327" s="84" t="s">
        <v>34</v>
      </c>
      <c r="B327" s="31"/>
      <c r="C327" s="32"/>
      <c r="D327" s="82">
        <f>round(D326*12%,2)</f>
        <v>266.61</v>
      </c>
      <c r="E327" s="83"/>
      <c r="F327" s="80"/>
    </row>
    <row r="328">
      <c r="A328" s="85" t="s">
        <v>9</v>
      </c>
      <c r="B328" s="31"/>
      <c r="C328" s="32"/>
      <c r="D328" s="86">
        <f>D326-D327</f>
        <v>1955.12</v>
      </c>
      <c r="E328" s="46">
        <v>26475.0</v>
      </c>
      <c r="F328" s="87">
        <f>D328*E328</f>
        <v>51761802</v>
      </c>
    </row>
    <row r="329">
      <c r="A329" s="85" t="s">
        <v>26</v>
      </c>
      <c r="B329" s="31"/>
      <c r="C329" s="32"/>
      <c r="D329" s="88"/>
      <c r="E329" s="79"/>
      <c r="F329" s="87">
        <f>round(F328*10%,0)</f>
        <v>5176180</v>
      </c>
    </row>
    <row r="330">
      <c r="A330" s="85" t="s">
        <v>16</v>
      </c>
      <c r="B330" s="31"/>
      <c r="C330" s="32"/>
      <c r="D330" s="88"/>
      <c r="E330" s="79"/>
      <c r="F330" s="87">
        <f>F328+F329</f>
        <v>56937982</v>
      </c>
    </row>
  </sheetData>
  <mergeCells count="156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49:F49"/>
    <mergeCell ref="A53:C53"/>
    <mergeCell ref="A54:C54"/>
    <mergeCell ref="A55:C55"/>
    <mergeCell ref="A56:C56"/>
    <mergeCell ref="A57:C57"/>
    <mergeCell ref="A61:F61"/>
    <mergeCell ref="A65:C65"/>
    <mergeCell ref="A66:C66"/>
    <mergeCell ref="A67:C67"/>
    <mergeCell ref="A68:C68"/>
    <mergeCell ref="A69:C69"/>
    <mergeCell ref="A73:F73"/>
    <mergeCell ref="A77:C77"/>
    <mergeCell ref="A78:C78"/>
    <mergeCell ref="A79:C79"/>
    <mergeCell ref="A80:C80"/>
    <mergeCell ref="A81:C81"/>
    <mergeCell ref="A85:F85"/>
    <mergeCell ref="A89:C89"/>
    <mergeCell ref="A90:C90"/>
    <mergeCell ref="A91:C91"/>
    <mergeCell ref="A92:C92"/>
    <mergeCell ref="A93:C93"/>
    <mergeCell ref="A97:F97"/>
    <mergeCell ref="A187:C187"/>
    <mergeCell ref="A188:C188"/>
    <mergeCell ref="A189:C189"/>
    <mergeCell ref="A190:C190"/>
    <mergeCell ref="A191:C191"/>
    <mergeCell ref="A197:F197"/>
    <mergeCell ref="A201:C201"/>
    <mergeCell ref="A202:C202"/>
    <mergeCell ref="A203:C203"/>
    <mergeCell ref="A204:C204"/>
    <mergeCell ref="A205:C205"/>
    <mergeCell ref="A211:F211"/>
    <mergeCell ref="A215:C215"/>
    <mergeCell ref="A216:C216"/>
    <mergeCell ref="A232:C232"/>
    <mergeCell ref="A233:C233"/>
    <mergeCell ref="A239:F239"/>
    <mergeCell ref="A243:C243"/>
    <mergeCell ref="A244:C244"/>
    <mergeCell ref="A245:C245"/>
    <mergeCell ref="A246:C246"/>
    <mergeCell ref="A247:C247"/>
    <mergeCell ref="A253:F253"/>
    <mergeCell ref="A257:C257"/>
    <mergeCell ref="A258:C258"/>
    <mergeCell ref="A259:C259"/>
    <mergeCell ref="A260:C260"/>
    <mergeCell ref="A261:C261"/>
    <mergeCell ref="A267:F267"/>
    <mergeCell ref="A271:C271"/>
    <mergeCell ref="A272:C272"/>
    <mergeCell ref="A273:C273"/>
    <mergeCell ref="A274:C274"/>
    <mergeCell ref="A275:C275"/>
    <mergeCell ref="A281:F281"/>
    <mergeCell ref="A285:C285"/>
    <mergeCell ref="A286:C286"/>
    <mergeCell ref="A287:C287"/>
    <mergeCell ref="A288:C288"/>
    <mergeCell ref="A289:C289"/>
    <mergeCell ref="A295:F295"/>
    <mergeCell ref="A299:C299"/>
    <mergeCell ref="A300:C300"/>
    <mergeCell ref="A301:C301"/>
    <mergeCell ref="A302:C302"/>
    <mergeCell ref="A303:C303"/>
    <mergeCell ref="A308:F308"/>
    <mergeCell ref="A312:C312"/>
    <mergeCell ref="A313:C313"/>
    <mergeCell ref="A329:C329"/>
    <mergeCell ref="A330:C330"/>
    <mergeCell ref="A314:C314"/>
    <mergeCell ref="A315:C315"/>
    <mergeCell ref="A316:C316"/>
    <mergeCell ref="A322:F322"/>
    <mergeCell ref="A326:C326"/>
    <mergeCell ref="A327:C327"/>
    <mergeCell ref="A328:C328"/>
    <mergeCell ref="A101:C101"/>
    <mergeCell ref="A102:C102"/>
    <mergeCell ref="A103:C103"/>
    <mergeCell ref="A104:C104"/>
    <mergeCell ref="A105:C105"/>
    <mergeCell ref="A109:F109"/>
    <mergeCell ref="A113:C113"/>
    <mergeCell ref="A114:C114"/>
    <mergeCell ref="A115:C115"/>
    <mergeCell ref="A116:C116"/>
    <mergeCell ref="A117:C117"/>
    <mergeCell ref="A121:F121"/>
    <mergeCell ref="A125:C125"/>
    <mergeCell ref="A126:C126"/>
    <mergeCell ref="A127:C127"/>
    <mergeCell ref="A128:C128"/>
    <mergeCell ref="A129:C129"/>
    <mergeCell ref="A133:F133"/>
    <mergeCell ref="A137:C137"/>
    <mergeCell ref="A138:C138"/>
    <mergeCell ref="A139:C139"/>
    <mergeCell ref="A140:C140"/>
    <mergeCell ref="A141:C141"/>
    <mergeCell ref="A145:F145"/>
    <mergeCell ref="A149:C149"/>
    <mergeCell ref="A150:C150"/>
    <mergeCell ref="A151:C151"/>
    <mergeCell ref="A152:C152"/>
    <mergeCell ref="A153:C153"/>
    <mergeCell ref="A157:F157"/>
    <mergeCell ref="A161:C161"/>
    <mergeCell ref="A162:C162"/>
    <mergeCell ref="A163:C163"/>
    <mergeCell ref="A164:C164"/>
    <mergeCell ref="A165:C165"/>
    <mergeCell ref="A169:F169"/>
    <mergeCell ref="A173:C173"/>
    <mergeCell ref="A174:C174"/>
    <mergeCell ref="A175:C175"/>
    <mergeCell ref="A176:C176"/>
    <mergeCell ref="A177:C177"/>
    <mergeCell ref="A183:F183"/>
    <mergeCell ref="A217:C217"/>
    <mergeCell ref="A218:C218"/>
    <mergeCell ref="A219:C219"/>
    <mergeCell ref="A225:F225"/>
    <mergeCell ref="A229:C229"/>
    <mergeCell ref="A230:C230"/>
    <mergeCell ref="A231:C2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75"/>
    <col customWidth="1" min="2" max="2" width="58.63"/>
    <col customWidth="1" min="3" max="3" width="12.25"/>
    <col customWidth="1" min="4" max="4" width="20.0"/>
    <col customWidth="1" min="5" max="5" width="11.0"/>
    <col customWidth="1" min="6" max="6" width="17.88"/>
  </cols>
  <sheetData>
    <row r="1">
      <c r="A1" s="52" t="s">
        <v>40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53"/>
      <c r="B2" s="53"/>
      <c r="C2" s="53"/>
      <c r="D2" s="53"/>
      <c r="E2" s="53"/>
      <c r="F2" s="53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13">
        <v>1.0</v>
      </c>
      <c r="B4" s="54" t="s">
        <v>41</v>
      </c>
      <c r="C4" s="55">
        <v>45505.0</v>
      </c>
      <c r="D4" s="22">
        <v>575.85</v>
      </c>
      <c r="E4" s="56"/>
      <c r="F4" s="28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30" t="s">
        <v>21</v>
      </c>
      <c r="B5" s="31"/>
      <c r="C5" s="32"/>
      <c r="D5" s="24">
        <f>round(D4*(1+5.26%),2)</f>
        <v>606.14</v>
      </c>
      <c r="E5" s="57"/>
      <c r="F5" s="28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30" t="s">
        <v>42</v>
      </c>
      <c r="B6" s="31"/>
      <c r="C6" s="32"/>
      <c r="D6" s="24">
        <f>round(D5*11%,2)</f>
        <v>66.68</v>
      </c>
      <c r="E6" s="57"/>
      <c r="F6" s="28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33" t="s">
        <v>9</v>
      </c>
      <c r="B7" s="31"/>
      <c r="C7" s="32"/>
      <c r="D7" s="39">
        <f>D5-D6</f>
        <v>539.46</v>
      </c>
      <c r="E7" s="46">
        <v>25080.0</v>
      </c>
      <c r="F7" s="41">
        <f>D7*E7</f>
        <v>13529656.8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33" t="s">
        <v>26</v>
      </c>
      <c r="B8" s="31"/>
      <c r="C8" s="32"/>
      <c r="D8" s="39"/>
      <c r="E8" s="46"/>
      <c r="F8" s="41">
        <f>round(F7*10%,0)</f>
        <v>1352966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33" t="s">
        <v>16</v>
      </c>
      <c r="B9" s="31"/>
      <c r="C9" s="32"/>
      <c r="D9" s="39"/>
      <c r="E9" s="46"/>
      <c r="F9" s="41">
        <f>F7+F8</f>
        <v>14882622.8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52" t="s">
        <v>40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53"/>
      <c r="B14" s="53"/>
      <c r="C14" s="53"/>
      <c r="D14" s="53"/>
      <c r="E14" s="53"/>
      <c r="F14" s="53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13">
        <v>1.0</v>
      </c>
      <c r="B16" s="54" t="s">
        <v>41</v>
      </c>
      <c r="C16" s="55">
        <v>45536.0</v>
      </c>
      <c r="D16" s="22">
        <v>557.23</v>
      </c>
      <c r="E16" s="56"/>
      <c r="F16" s="28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30" t="s">
        <v>21</v>
      </c>
      <c r="B17" s="31"/>
      <c r="C17" s="32"/>
      <c r="D17" s="24">
        <f>round(D16*(1+5.26%),2)</f>
        <v>586.54</v>
      </c>
      <c r="E17" s="57"/>
      <c r="F17" s="28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30" t="s">
        <v>42</v>
      </c>
      <c r="B18" s="31"/>
      <c r="C18" s="32"/>
      <c r="D18" s="24">
        <f>round(D17*11%,2)</f>
        <v>64.52</v>
      </c>
      <c r="E18" s="57"/>
      <c r="F18" s="28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33" t="s">
        <v>9</v>
      </c>
      <c r="B19" s="31"/>
      <c r="C19" s="32"/>
      <c r="D19" s="39">
        <f>D17-D18</f>
        <v>522.02</v>
      </c>
      <c r="E19" s="46">
        <v>24733.0</v>
      </c>
      <c r="F19" s="41">
        <f>D19*E19</f>
        <v>12911120.66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33" t="s">
        <v>26</v>
      </c>
      <c r="B20" s="31"/>
      <c r="C20" s="32"/>
      <c r="D20" s="39"/>
      <c r="E20" s="46"/>
      <c r="F20" s="41">
        <f>round(F19*10%,0)</f>
        <v>1291112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33" t="s">
        <v>16</v>
      </c>
      <c r="B21" s="31"/>
      <c r="C21" s="32"/>
      <c r="D21" s="39"/>
      <c r="E21" s="46"/>
      <c r="F21" s="41">
        <f>F19+F20</f>
        <v>14202232.66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52" t="s">
        <v>40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53"/>
      <c r="B26" s="53"/>
      <c r="C26" s="53"/>
      <c r="D26" s="53"/>
      <c r="E26" s="53"/>
      <c r="F26" s="53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13">
        <v>1.0</v>
      </c>
      <c r="B28" s="54" t="s">
        <v>41</v>
      </c>
      <c r="C28" s="55">
        <v>45566.0</v>
      </c>
      <c r="D28" s="22">
        <v>770.37</v>
      </c>
      <c r="E28" s="56"/>
      <c r="F28" s="28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30" t="s">
        <v>21</v>
      </c>
      <c r="B29" s="31"/>
      <c r="C29" s="32"/>
      <c r="D29" s="24">
        <f>round(D28*(1+5.26%),2)</f>
        <v>810.89</v>
      </c>
      <c r="E29" s="57"/>
      <c r="F29" s="28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30" t="s">
        <v>42</v>
      </c>
      <c r="B30" s="31"/>
      <c r="C30" s="32"/>
      <c r="D30" s="24">
        <f>round(D29*11%,2)</f>
        <v>89.2</v>
      </c>
      <c r="E30" s="57"/>
      <c r="F30" s="2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33" t="s">
        <v>9</v>
      </c>
      <c r="B31" s="31"/>
      <c r="C31" s="32"/>
      <c r="D31" s="39">
        <f>D29-D30</f>
        <v>721.69</v>
      </c>
      <c r="E31" s="46">
        <v>25445.0</v>
      </c>
      <c r="F31" s="41">
        <f>D31*E31</f>
        <v>18363402.05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33" t="s">
        <v>26</v>
      </c>
      <c r="B32" s="31"/>
      <c r="C32" s="32"/>
      <c r="D32" s="39"/>
      <c r="E32" s="46"/>
      <c r="F32" s="41">
        <f>round(F31*10%,0)</f>
        <v>1836340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33" t="s">
        <v>16</v>
      </c>
      <c r="B33" s="31"/>
      <c r="C33" s="32"/>
      <c r="D33" s="39"/>
      <c r="E33" s="46"/>
      <c r="F33" s="41">
        <f>F31+F32</f>
        <v>20199742.05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52" t="s">
        <v>40</v>
      </c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53"/>
      <c r="B38" s="53"/>
      <c r="C38" s="53"/>
      <c r="D38" s="53"/>
      <c r="E38" s="53"/>
      <c r="F38" s="53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13">
        <v>1.0</v>
      </c>
      <c r="B40" s="54" t="s">
        <v>41</v>
      </c>
      <c r="C40" s="55">
        <v>45597.0</v>
      </c>
      <c r="D40" s="22">
        <v>573.49</v>
      </c>
      <c r="E40" s="56"/>
      <c r="F40" s="28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30" t="s">
        <v>21</v>
      </c>
      <c r="B41" s="31"/>
      <c r="C41" s="32"/>
      <c r="D41" s="24">
        <f>round(D40*(1+5.26%),2)</f>
        <v>603.66</v>
      </c>
      <c r="E41" s="57"/>
      <c r="F41" s="28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30" t="s">
        <v>42</v>
      </c>
      <c r="B42" s="31"/>
      <c r="C42" s="32"/>
      <c r="D42" s="24">
        <f>round(D41*11%,2)</f>
        <v>66.4</v>
      </c>
      <c r="E42" s="57"/>
      <c r="F42" s="28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33" t="s">
        <v>9</v>
      </c>
      <c r="B43" s="31"/>
      <c r="C43" s="32"/>
      <c r="D43" s="39">
        <f>D41-D42</f>
        <v>537.26</v>
      </c>
      <c r="E43" s="46">
        <v>25463.0</v>
      </c>
      <c r="F43" s="41">
        <f>D43*E43</f>
        <v>13680251.38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33" t="s">
        <v>26</v>
      </c>
      <c r="B44" s="31"/>
      <c r="C44" s="32"/>
      <c r="D44" s="39"/>
      <c r="E44" s="46"/>
      <c r="F44" s="41">
        <f>round(F43*10%,0)</f>
        <v>1368025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33" t="s">
        <v>16</v>
      </c>
      <c r="B45" s="31"/>
      <c r="C45" s="32"/>
      <c r="D45" s="39"/>
      <c r="E45" s="46"/>
      <c r="F45" s="41">
        <f>F43+F44</f>
        <v>15048276.38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52" t="s">
        <v>45</v>
      </c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53"/>
      <c r="B50" s="53"/>
      <c r="C50" s="53"/>
      <c r="D50" s="53"/>
      <c r="E50" s="53"/>
      <c r="F50" s="53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13">
        <v>1.0</v>
      </c>
      <c r="B52" s="54" t="s">
        <v>41</v>
      </c>
      <c r="C52" s="55">
        <v>45627.0</v>
      </c>
      <c r="D52" s="22">
        <v>557.23</v>
      </c>
      <c r="E52" s="56"/>
      <c r="F52" s="28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30" t="s">
        <v>21</v>
      </c>
      <c r="B53" s="31"/>
      <c r="C53" s="32"/>
      <c r="D53" s="24">
        <f>round(D52*(1+5.26%),2)</f>
        <v>586.54</v>
      </c>
      <c r="E53" s="57"/>
      <c r="F53" s="28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30" t="s">
        <v>42</v>
      </c>
      <c r="B54" s="31"/>
      <c r="C54" s="32"/>
      <c r="D54" s="24">
        <f>round(D53*11%,2)</f>
        <v>64.52</v>
      </c>
      <c r="E54" s="57"/>
      <c r="F54" s="28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33" t="s">
        <v>9</v>
      </c>
      <c r="B55" s="31"/>
      <c r="C55" s="32"/>
      <c r="D55" s="39">
        <f>D53-D54</f>
        <v>522.02</v>
      </c>
      <c r="E55" s="46">
        <v>25551.0</v>
      </c>
      <c r="F55" s="41">
        <f>D55*E55</f>
        <v>13338133.02</v>
      </c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33" t="s">
        <v>26</v>
      </c>
      <c r="B56" s="31"/>
      <c r="C56" s="32"/>
      <c r="D56" s="39"/>
      <c r="E56" s="46"/>
      <c r="F56" s="41">
        <f>round(F55*10%,0)</f>
        <v>1333813</v>
      </c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33" t="s">
        <v>16</v>
      </c>
      <c r="B57" s="31"/>
      <c r="C57" s="32"/>
      <c r="D57" s="39"/>
      <c r="E57" s="46"/>
      <c r="F57" s="41">
        <f>F55+F56</f>
        <v>14671946.02</v>
      </c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52" t="s">
        <v>45</v>
      </c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53"/>
      <c r="B62" s="53"/>
      <c r="C62" s="53"/>
      <c r="D62" s="53"/>
      <c r="E62" s="53"/>
      <c r="F62" s="53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9" t="s">
        <v>4</v>
      </c>
      <c r="B63" s="9" t="s">
        <v>5</v>
      </c>
      <c r="C63" s="9" t="s">
        <v>6</v>
      </c>
      <c r="D63" s="9" t="s">
        <v>7</v>
      </c>
      <c r="E63" s="9" t="s">
        <v>8</v>
      </c>
      <c r="F63" s="9" t="s">
        <v>9</v>
      </c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13">
        <v>1.0</v>
      </c>
      <c r="B64" s="54" t="s">
        <v>41</v>
      </c>
      <c r="C64" s="55">
        <v>45658.0</v>
      </c>
      <c r="D64" s="22">
        <v>940.08</v>
      </c>
      <c r="E64" s="56"/>
      <c r="F64" s="28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30" t="s">
        <v>21</v>
      </c>
      <c r="B65" s="31"/>
      <c r="C65" s="32"/>
      <c r="D65" s="24">
        <f>round(D64*(1+5.26%),2)</f>
        <v>989.53</v>
      </c>
      <c r="E65" s="57"/>
      <c r="F65" s="28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30" t="s">
        <v>42</v>
      </c>
      <c r="B66" s="31"/>
      <c r="C66" s="32"/>
      <c r="D66" s="24">
        <f>round(D65*11%,2)</f>
        <v>108.85</v>
      </c>
      <c r="E66" s="57"/>
      <c r="F66" s="28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33" t="s">
        <v>9</v>
      </c>
      <c r="B67" s="31"/>
      <c r="C67" s="32"/>
      <c r="D67" s="39">
        <f>D65-D66</f>
        <v>880.68</v>
      </c>
      <c r="E67" s="46">
        <v>25295.0</v>
      </c>
      <c r="F67" s="41">
        <f>D67*E67</f>
        <v>22276800.6</v>
      </c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33" t="s">
        <v>26</v>
      </c>
      <c r="B68" s="31"/>
      <c r="C68" s="32"/>
      <c r="D68" s="39"/>
      <c r="E68" s="46"/>
      <c r="F68" s="41">
        <f>round(F67*10%,0)</f>
        <v>2227680</v>
      </c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33" t="s">
        <v>16</v>
      </c>
      <c r="B69" s="31"/>
      <c r="C69" s="32"/>
      <c r="D69" s="39"/>
      <c r="E69" s="46"/>
      <c r="F69" s="41">
        <f>F67+F68</f>
        <v>24504480.6</v>
      </c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52" t="s">
        <v>45</v>
      </c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53"/>
      <c r="B74" s="53"/>
      <c r="C74" s="53"/>
      <c r="D74" s="53"/>
      <c r="E74" s="53"/>
      <c r="F74" s="53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9" t="s">
        <v>4</v>
      </c>
      <c r="B75" s="9" t="s">
        <v>5</v>
      </c>
      <c r="C75" s="9" t="s">
        <v>6</v>
      </c>
      <c r="D75" s="9" t="s">
        <v>7</v>
      </c>
      <c r="E75" s="9" t="s">
        <v>8</v>
      </c>
      <c r="F75" s="9" t="s">
        <v>9</v>
      </c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13">
        <v>1.0</v>
      </c>
      <c r="B76" s="54" t="s">
        <v>41</v>
      </c>
      <c r="C76" s="55">
        <v>45689.0</v>
      </c>
      <c r="D76" s="22">
        <v>1103.75</v>
      </c>
      <c r="E76" s="56"/>
      <c r="F76" s="28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30" t="s">
        <v>21</v>
      </c>
      <c r="B77" s="31"/>
      <c r="C77" s="32"/>
      <c r="D77" s="24">
        <f>round(D76*(1+5.26%),2)</f>
        <v>1161.81</v>
      </c>
      <c r="E77" s="57"/>
      <c r="F77" s="28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30" t="s">
        <v>42</v>
      </c>
      <c r="B78" s="31"/>
      <c r="C78" s="32"/>
      <c r="D78" s="24">
        <f>round(D77*11%,2)</f>
        <v>127.8</v>
      </c>
      <c r="E78" s="57"/>
      <c r="F78" s="28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33" t="s">
        <v>9</v>
      </c>
      <c r="B79" s="31"/>
      <c r="C79" s="32"/>
      <c r="D79" s="39">
        <f>D77-D78</f>
        <v>1034.01</v>
      </c>
      <c r="E79" s="46">
        <v>25735.0</v>
      </c>
      <c r="F79" s="41">
        <f>D79*E79</f>
        <v>26610247.35</v>
      </c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33" t="s">
        <v>26</v>
      </c>
      <c r="B80" s="31"/>
      <c r="C80" s="32"/>
      <c r="D80" s="39"/>
      <c r="E80" s="46"/>
      <c r="F80" s="41">
        <f>round(F79*10%,0)</f>
        <v>2661025</v>
      </c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33" t="s">
        <v>16</v>
      </c>
      <c r="B81" s="31"/>
      <c r="C81" s="32"/>
      <c r="D81" s="39"/>
      <c r="E81" s="46"/>
      <c r="F81" s="41">
        <f>F79+F80</f>
        <v>29271272.35</v>
      </c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52" t="s">
        <v>45</v>
      </c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53"/>
      <c r="B86" s="53"/>
      <c r="C86" s="53"/>
      <c r="D86" s="53"/>
      <c r="E86" s="53"/>
      <c r="F86" s="53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9" t="s">
        <v>4</v>
      </c>
      <c r="B87" s="9" t="s">
        <v>5</v>
      </c>
      <c r="C87" s="9" t="s">
        <v>6</v>
      </c>
      <c r="D87" s="9" t="s">
        <v>7</v>
      </c>
      <c r="E87" s="9" t="s">
        <v>8</v>
      </c>
      <c r="F87" s="9" t="s">
        <v>9</v>
      </c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13">
        <v>1.0</v>
      </c>
      <c r="B88" s="54" t="s">
        <v>41</v>
      </c>
      <c r="C88" s="55">
        <v>45717.0</v>
      </c>
      <c r="D88" s="22">
        <v>954.82</v>
      </c>
      <c r="E88" s="56"/>
      <c r="F88" s="28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30" t="s">
        <v>21</v>
      </c>
      <c r="B89" s="31"/>
      <c r="C89" s="32"/>
      <c r="D89" s="24">
        <f>round(D88*(1+5.26%),2)</f>
        <v>1005.04</v>
      </c>
      <c r="E89" s="57"/>
      <c r="F89" s="28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30" t="s">
        <v>42</v>
      </c>
      <c r="B90" s="31"/>
      <c r="C90" s="32"/>
      <c r="D90" s="24">
        <f>round(D89*11%,2)</f>
        <v>110.55</v>
      </c>
      <c r="E90" s="57"/>
      <c r="F90" s="28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33" t="s">
        <v>9</v>
      </c>
      <c r="B91" s="31"/>
      <c r="C91" s="32"/>
      <c r="D91" s="39">
        <f>D89-D90</f>
        <v>894.49</v>
      </c>
      <c r="E91" s="46">
        <v>25775.0</v>
      </c>
      <c r="F91" s="41">
        <f>D91*E91</f>
        <v>23055479.75</v>
      </c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33" t="s">
        <v>26</v>
      </c>
      <c r="B92" s="31"/>
      <c r="C92" s="32"/>
      <c r="D92" s="39"/>
      <c r="E92" s="46"/>
      <c r="F92" s="41">
        <f>round(F91*10%,0)</f>
        <v>2305548</v>
      </c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33" t="s">
        <v>16</v>
      </c>
      <c r="B93" s="31"/>
      <c r="C93" s="32"/>
      <c r="D93" s="39"/>
      <c r="E93" s="46"/>
      <c r="F93" s="41">
        <f>F91+F92</f>
        <v>25361027.75</v>
      </c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52" t="s">
        <v>45</v>
      </c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53"/>
      <c r="B98" s="53"/>
      <c r="C98" s="53"/>
      <c r="D98" s="53"/>
      <c r="E98" s="53"/>
      <c r="F98" s="53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9" t="s">
        <v>4</v>
      </c>
      <c r="B99" s="9" t="s">
        <v>5</v>
      </c>
      <c r="C99" s="9" t="s">
        <v>6</v>
      </c>
      <c r="D99" s="9" t="s">
        <v>7</v>
      </c>
      <c r="E99" s="9" t="s">
        <v>8</v>
      </c>
      <c r="F99" s="9" t="s">
        <v>9</v>
      </c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13">
        <v>1.0</v>
      </c>
      <c r="B100" s="54" t="s">
        <v>41</v>
      </c>
      <c r="C100" s="55">
        <v>45748.0</v>
      </c>
      <c r="D100" s="22">
        <v>465.4</v>
      </c>
      <c r="E100" s="56"/>
      <c r="F100" s="28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30" t="s">
        <v>21</v>
      </c>
      <c r="B101" s="31"/>
      <c r="C101" s="32"/>
      <c r="D101" s="24">
        <f>round(D100*(1+5.26%),2)</f>
        <v>489.88</v>
      </c>
      <c r="E101" s="57"/>
      <c r="F101" s="28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30" t="s">
        <v>42</v>
      </c>
      <c r="B102" s="31"/>
      <c r="C102" s="32"/>
      <c r="D102" s="24">
        <f>round(D101*11%,2)</f>
        <v>53.89</v>
      </c>
      <c r="E102" s="57"/>
      <c r="F102" s="28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33" t="s">
        <v>9</v>
      </c>
      <c r="B103" s="31"/>
      <c r="C103" s="32"/>
      <c r="D103" s="39">
        <f>D101-D102</f>
        <v>435.99</v>
      </c>
      <c r="E103" s="46">
        <v>26190.0</v>
      </c>
      <c r="F103" s="41">
        <f>D103*E103</f>
        <v>11418578.1</v>
      </c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33" t="s">
        <v>26</v>
      </c>
      <c r="B104" s="31"/>
      <c r="C104" s="32"/>
      <c r="D104" s="39"/>
      <c r="E104" s="46"/>
      <c r="F104" s="41">
        <f>round(F103*10%,0)</f>
        <v>1141858</v>
      </c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33" t="s">
        <v>16</v>
      </c>
      <c r="B105" s="31"/>
      <c r="C105" s="32"/>
      <c r="D105" s="39"/>
      <c r="E105" s="46"/>
      <c r="F105" s="41">
        <f>F103+F104</f>
        <v>12560436.1</v>
      </c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52" t="s">
        <v>45</v>
      </c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53"/>
      <c r="B110" s="53"/>
      <c r="C110" s="53"/>
      <c r="D110" s="53"/>
      <c r="E110" s="53"/>
      <c r="F110" s="53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9" t="s">
        <v>4</v>
      </c>
      <c r="B111" s="9" t="s">
        <v>5</v>
      </c>
      <c r="C111" s="9" t="s">
        <v>6</v>
      </c>
      <c r="D111" s="9" t="s">
        <v>7</v>
      </c>
      <c r="E111" s="9" t="s">
        <v>8</v>
      </c>
      <c r="F111" s="9" t="s">
        <v>9</v>
      </c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13">
        <v>1.0</v>
      </c>
      <c r="B112" s="54" t="s">
        <v>41</v>
      </c>
      <c r="C112" s="55">
        <v>45778.0</v>
      </c>
      <c r="D112" s="22">
        <v>271.94</v>
      </c>
      <c r="E112" s="56"/>
      <c r="F112" s="28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30" t="s">
        <v>21</v>
      </c>
      <c r="B113" s="31"/>
      <c r="C113" s="32"/>
      <c r="D113" s="24">
        <f>round(D112*(1+5.26%),2)</f>
        <v>286.24</v>
      </c>
      <c r="E113" s="57"/>
      <c r="F113" s="28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30" t="s">
        <v>42</v>
      </c>
      <c r="B114" s="31"/>
      <c r="C114" s="32"/>
      <c r="D114" s="24">
        <f>round(D113*11%,2)</f>
        <v>31.49</v>
      </c>
      <c r="E114" s="57"/>
      <c r="F114" s="28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33" t="s">
        <v>9</v>
      </c>
      <c r="B115" s="31"/>
      <c r="C115" s="32"/>
      <c r="D115" s="39">
        <f>D113-D114</f>
        <v>254.75</v>
      </c>
      <c r="E115" s="46">
        <v>26225.0</v>
      </c>
      <c r="F115" s="41">
        <f>D115*E115</f>
        <v>6680818.75</v>
      </c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33" t="s">
        <v>26</v>
      </c>
      <c r="B116" s="31"/>
      <c r="C116" s="32"/>
      <c r="D116" s="39"/>
      <c r="E116" s="46"/>
      <c r="F116" s="41">
        <f>round(F115*10%,0)</f>
        <v>668082</v>
      </c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33" t="s">
        <v>16</v>
      </c>
      <c r="B117" s="31"/>
      <c r="C117" s="32"/>
      <c r="D117" s="39"/>
      <c r="E117" s="46"/>
      <c r="F117" s="41">
        <f>F115+F116</f>
        <v>7348900.75</v>
      </c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52" t="s">
        <v>45</v>
      </c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53"/>
      <c r="B122" s="53"/>
      <c r="C122" s="53"/>
      <c r="D122" s="53"/>
      <c r="E122" s="53"/>
      <c r="F122" s="53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9" t="s">
        <v>4</v>
      </c>
      <c r="B123" s="9" t="s">
        <v>5</v>
      </c>
      <c r="C123" s="9" t="s">
        <v>6</v>
      </c>
      <c r="D123" s="9" t="s">
        <v>7</v>
      </c>
      <c r="E123" s="9" t="s">
        <v>8</v>
      </c>
      <c r="F123" s="9" t="s">
        <v>9</v>
      </c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13">
        <v>1.0</v>
      </c>
      <c r="B124" s="54" t="s">
        <v>41</v>
      </c>
      <c r="C124" s="55">
        <v>45809.0</v>
      </c>
      <c r="D124" s="22">
        <v>259.62</v>
      </c>
      <c r="E124" s="56"/>
      <c r="F124" s="28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30" t="s">
        <v>21</v>
      </c>
      <c r="B125" s="31"/>
      <c r="C125" s="32"/>
      <c r="D125" s="24">
        <f>round(D124*(1+5.26%),2)</f>
        <v>273.28</v>
      </c>
      <c r="E125" s="57"/>
      <c r="F125" s="28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30" t="s">
        <v>42</v>
      </c>
      <c r="B126" s="31"/>
      <c r="C126" s="32"/>
      <c r="D126" s="24">
        <f>round(D125*11%,2)</f>
        <v>30.06</v>
      </c>
      <c r="E126" s="57"/>
      <c r="F126" s="28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33" t="s">
        <v>9</v>
      </c>
      <c r="B127" s="31"/>
      <c r="C127" s="32"/>
      <c r="D127" s="39">
        <f>D125-D126</f>
        <v>243.22</v>
      </c>
      <c r="E127" s="46">
        <v>26300.0</v>
      </c>
      <c r="F127" s="41">
        <f>D127*E127</f>
        <v>6396686</v>
      </c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33" t="s">
        <v>26</v>
      </c>
      <c r="B128" s="31"/>
      <c r="C128" s="32"/>
      <c r="D128" s="39"/>
      <c r="E128" s="46"/>
      <c r="F128" s="41">
        <f>round(F127*10%,0)</f>
        <v>639669</v>
      </c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33" t="s">
        <v>16</v>
      </c>
      <c r="B129" s="31"/>
      <c r="C129" s="32"/>
      <c r="D129" s="39"/>
      <c r="E129" s="46"/>
      <c r="F129" s="41">
        <f>F127+F128</f>
        <v>7036355</v>
      </c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52" t="s">
        <v>45</v>
      </c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53"/>
      <c r="B134" s="53"/>
      <c r="C134" s="53"/>
      <c r="D134" s="53"/>
      <c r="E134" s="53"/>
      <c r="F134" s="53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9" t="s">
        <v>4</v>
      </c>
      <c r="B135" s="9" t="s">
        <v>5</v>
      </c>
      <c r="C135" s="9" t="s">
        <v>6</v>
      </c>
      <c r="D135" s="9" t="s">
        <v>7</v>
      </c>
      <c r="E135" s="9" t="s">
        <v>8</v>
      </c>
      <c r="F135" s="9" t="s">
        <v>9</v>
      </c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13">
        <v>1.0</v>
      </c>
      <c r="B136" s="54" t="s">
        <v>41</v>
      </c>
      <c r="C136" s="55">
        <v>45839.0</v>
      </c>
      <c r="D136" s="22">
        <v>308.63</v>
      </c>
      <c r="E136" s="56"/>
      <c r="F136" s="28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30" t="s">
        <v>32</v>
      </c>
      <c r="B137" s="31"/>
      <c r="C137" s="32"/>
      <c r="D137" s="24">
        <f>round(D136*(1+10%),2)</f>
        <v>339.49</v>
      </c>
      <c r="E137" s="57"/>
      <c r="F137" s="28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30" t="s">
        <v>42</v>
      </c>
      <c r="B138" s="31"/>
      <c r="C138" s="32"/>
      <c r="D138" s="24">
        <f>round(D137*11%,2)</f>
        <v>37.34</v>
      </c>
      <c r="E138" s="57"/>
      <c r="F138" s="28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33" t="s">
        <v>9</v>
      </c>
      <c r="B139" s="31"/>
      <c r="C139" s="32"/>
      <c r="D139" s="39">
        <f>D137-D138</f>
        <v>302.15</v>
      </c>
      <c r="E139" s="46">
        <v>26382.0</v>
      </c>
      <c r="F139" s="41">
        <f>D139*E139</f>
        <v>7971321.3</v>
      </c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33" t="s">
        <v>26</v>
      </c>
      <c r="B140" s="31"/>
      <c r="C140" s="32"/>
      <c r="D140" s="39"/>
      <c r="E140" s="46"/>
      <c r="F140" s="41">
        <f>round(F139*10%,0)</f>
        <v>797132</v>
      </c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33" t="s">
        <v>16</v>
      </c>
      <c r="B141" s="31"/>
      <c r="C141" s="32"/>
      <c r="D141" s="39"/>
      <c r="E141" s="46"/>
      <c r="F141" s="41">
        <f>F139+F140</f>
        <v>8768453.3</v>
      </c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52" t="s">
        <v>45</v>
      </c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53"/>
      <c r="B147" s="53"/>
      <c r="C147" s="53"/>
      <c r="D147" s="53"/>
      <c r="E147" s="53"/>
      <c r="F147" s="53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9" t="s">
        <v>4</v>
      </c>
      <c r="B148" s="9" t="s">
        <v>5</v>
      </c>
      <c r="C148" s="9" t="s">
        <v>6</v>
      </c>
      <c r="D148" s="9" t="s">
        <v>7</v>
      </c>
      <c r="E148" s="9" t="s">
        <v>8</v>
      </c>
      <c r="F148" s="9" t="s">
        <v>9</v>
      </c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13">
        <v>1.0</v>
      </c>
      <c r="B149" s="54" t="s">
        <v>41</v>
      </c>
      <c r="C149" s="55">
        <v>45870.0</v>
      </c>
      <c r="D149" s="22">
        <v>308.63</v>
      </c>
      <c r="E149" s="56"/>
      <c r="F149" s="28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30" t="s">
        <v>32</v>
      </c>
      <c r="B150" s="31"/>
      <c r="C150" s="32"/>
      <c r="D150" s="24">
        <f>round(D149*(1+10%),2)</f>
        <v>339.49</v>
      </c>
      <c r="E150" s="57"/>
      <c r="F150" s="28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30" t="s">
        <v>42</v>
      </c>
      <c r="B151" s="31"/>
      <c r="C151" s="32"/>
      <c r="D151" s="24">
        <f>round(D150*11%,2)</f>
        <v>37.34</v>
      </c>
      <c r="E151" s="57"/>
      <c r="F151" s="28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33" t="s">
        <v>9</v>
      </c>
      <c r="B152" s="31"/>
      <c r="C152" s="32"/>
      <c r="D152" s="39">
        <f>D150-D151</f>
        <v>302.15</v>
      </c>
      <c r="E152" s="46">
        <v>26502.0</v>
      </c>
      <c r="F152" s="41">
        <f>D152*E152</f>
        <v>8007579.3</v>
      </c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33" t="s">
        <v>26</v>
      </c>
      <c r="B153" s="31"/>
      <c r="C153" s="32"/>
      <c r="D153" s="39"/>
      <c r="E153" s="46"/>
      <c r="F153" s="41">
        <f>round(F152*10%,0)</f>
        <v>800758</v>
      </c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33" t="s">
        <v>16</v>
      </c>
      <c r="B154" s="31"/>
      <c r="C154" s="32"/>
      <c r="D154" s="39"/>
      <c r="E154" s="46"/>
      <c r="F154" s="41">
        <f>F152+F153</f>
        <v>8808337.3</v>
      </c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52" t="s">
        <v>45</v>
      </c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53"/>
      <c r="B160" s="53"/>
      <c r="C160" s="53"/>
      <c r="D160" s="53"/>
      <c r="E160" s="53"/>
      <c r="F160" s="53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9" t="s">
        <v>4</v>
      </c>
      <c r="B161" s="9" t="s">
        <v>5</v>
      </c>
      <c r="C161" s="9" t="s">
        <v>6</v>
      </c>
      <c r="D161" s="9" t="s">
        <v>7</v>
      </c>
      <c r="E161" s="9" t="s">
        <v>8</v>
      </c>
      <c r="F161" s="9" t="s">
        <v>9</v>
      </c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13">
        <v>1.0</v>
      </c>
      <c r="B162" s="54" t="s">
        <v>41</v>
      </c>
      <c r="C162" s="55">
        <v>45901.0</v>
      </c>
      <c r="D162" s="22">
        <v>308.63</v>
      </c>
      <c r="E162" s="56"/>
      <c r="F162" s="28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30" t="s">
        <v>32</v>
      </c>
      <c r="B163" s="31"/>
      <c r="C163" s="32"/>
      <c r="D163" s="24">
        <f>round(D162*(1+10%),2)</f>
        <v>339.49</v>
      </c>
      <c r="E163" s="57"/>
      <c r="F163" s="28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30" t="s">
        <v>42</v>
      </c>
      <c r="B164" s="31"/>
      <c r="C164" s="32"/>
      <c r="D164" s="24">
        <f>round(D163*11%,2)</f>
        <v>37.34</v>
      </c>
      <c r="E164" s="57"/>
      <c r="F164" s="28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33" t="s">
        <v>9</v>
      </c>
      <c r="B165" s="31"/>
      <c r="C165" s="32"/>
      <c r="D165" s="39">
        <f>D163-D164</f>
        <v>302.15</v>
      </c>
      <c r="E165" s="46">
        <v>26446.0</v>
      </c>
      <c r="F165" s="41">
        <f>D165*E165</f>
        <v>7990658.9</v>
      </c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33" t="s">
        <v>26</v>
      </c>
      <c r="B166" s="31"/>
      <c r="C166" s="32"/>
      <c r="D166" s="39"/>
      <c r="E166" s="46"/>
      <c r="F166" s="41">
        <f>round(F165*10%,0)</f>
        <v>799066</v>
      </c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33" t="s">
        <v>16</v>
      </c>
      <c r="B167" s="31"/>
      <c r="C167" s="32"/>
      <c r="D167" s="39"/>
      <c r="E167" s="46"/>
      <c r="F167" s="41">
        <f>F165+F166</f>
        <v>8789724.9</v>
      </c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52" t="s">
        <v>45</v>
      </c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53"/>
      <c r="B174" s="53"/>
      <c r="C174" s="53"/>
      <c r="D174" s="53"/>
      <c r="E174" s="53"/>
      <c r="F174" s="53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9" t="s">
        <v>4</v>
      </c>
      <c r="B175" s="9" t="s">
        <v>5</v>
      </c>
      <c r="C175" s="9" t="s">
        <v>6</v>
      </c>
      <c r="D175" s="9" t="s">
        <v>7</v>
      </c>
      <c r="E175" s="9" t="s">
        <v>8</v>
      </c>
      <c r="F175" s="9" t="s">
        <v>9</v>
      </c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13">
        <v>1.0</v>
      </c>
      <c r="B176" s="54" t="s">
        <v>41</v>
      </c>
      <c r="C176" s="55">
        <v>45931.0</v>
      </c>
      <c r="D176" s="22">
        <v>308.63</v>
      </c>
      <c r="E176" s="56"/>
      <c r="F176" s="28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30" t="s">
        <v>32</v>
      </c>
      <c r="B177" s="31"/>
      <c r="C177" s="32"/>
      <c r="D177" s="24">
        <f>round(D176*(1+10%),2)</f>
        <v>339.49</v>
      </c>
      <c r="E177" s="57"/>
      <c r="F177" s="28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30" t="s">
        <v>42</v>
      </c>
      <c r="B178" s="31"/>
      <c r="C178" s="32"/>
      <c r="D178" s="24">
        <f>round(D177*11%,2)</f>
        <v>37.34</v>
      </c>
      <c r="E178" s="57"/>
      <c r="F178" s="28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33" t="s">
        <v>9</v>
      </c>
      <c r="B179" s="31"/>
      <c r="C179" s="32"/>
      <c r="D179" s="39">
        <f>D177-D178</f>
        <v>302.15</v>
      </c>
      <c r="E179" s="46">
        <v>26347.0</v>
      </c>
      <c r="F179" s="41">
        <f>D179*E179</f>
        <v>7960746.05</v>
      </c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33" t="s">
        <v>26</v>
      </c>
      <c r="B180" s="31"/>
      <c r="C180" s="32"/>
      <c r="D180" s="39"/>
      <c r="E180" s="46"/>
      <c r="F180" s="41">
        <f>round(F179*10%,0)</f>
        <v>796075</v>
      </c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33" t="s">
        <v>16</v>
      </c>
      <c r="B181" s="31"/>
      <c r="C181" s="32"/>
      <c r="D181" s="39"/>
      <c r="E181" s="46"/>
      <c r="F181" s="41">
        <f>F179+F180</f>
        <v>8756821.05</v>
      </c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52" t="s">
        <v>45</v>
      </c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53"/>
      <c r="B187" s="53"/>
      <c r="C187" s="53"/>
      <c r="D187" s="53"/>
      <c r="E187" s="53"/>
      <c r="F187" s="53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9" t="s">
        <v>4</v>
      </c>
      <c r="B188" s="9" t="s">
        <v>5</v>
      </c>
      <c r="C188" s="9" t="s">
        <v>6</v>
      </c>
      <c r="D188" s="9" t="s">
        <v>7</v>
      </c>
      <c r="E188" s="9" t="s">
        <v>8</v>
      </c>
      <c r="F188" s="9" t="s">
        <v>9</v>
      </c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13">
        <v>1.0</v>
      </c>
      <c r="B189" s="54" t="s">
        <v>41</v>
      </c>
      <c r="C189" s="55">
        <v>45962.0</v>
      </c>
      <c r="D189" s="22">
        <v>312.18</v>
      </c>
      <c r="E189" s="56"/>
      <c r="F189" s="28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30" t="s">
        <v>32</v>
      </c>
      <c r="B190" s="31"/>
      <c r="C190" s="32"/>
      <c r="D190" s="24">
        <f>round(D189*(1+10%),2)</f>
        <v>343.4</v>
      </c>
      <c r="E190" s="57"/>
      <c r="F190" s="28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30" t="s">
        <v>42</v>
      </c>
      <c r="B191" s="31"/>
      <c r="C191" s="32"/>
      <c r="D191" s="24">
        <f>round(D190*11%,2)</f>
        <v>37.77</v>
      </c>
      <c r="E191" s="57"/>
      <c r="F191" s="28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33" t="s">
        <v>9</v>
      </c>
      <c r="B192" s="31"/>
      <c r="C192" s="32"/>
      <c r="D192" s="39">
        <f>D190-D191</f>
        <v>305.63</v>
      </c>
      <c r="E192" s="46">
        <v>26412.0</v>
      </c>
      <c r="F192" s="41">
        <f>D192*E192</f>
        <v>8072299.56</v>
      </c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33" t="s">
        <v>26</v>
      </c>
      <c r="B193" s="31"/>
      <c r="C193" s="32"/>
      <c r="D193" s="39"/>
      <c r="E193" s="46"/>
      <c r="F193" s="41">
        <f>round(F192*10%,0)</f>
        <v>807230</v>
      </c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33" t="s">
        <v>16</v>
      </c>
      <c r="B194" s="31"/>
      <c r="C194" s="32"/>
      <c r="D194" s="39"/>
      <c r="E194" s="46"/>
      <c r="F194" s="41">
        <f>F192+F193</f>
        <v>8879529.56</v>
      </c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52" t="s">
        <v>45</v>
      </c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53"/>
      <c r="B201" s="53"/>
      <c r="C201" s="53"/>
      <c r="D201" s="53"/>
      <c r="E201" s="53"/>
      <c r="F201" s="53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9" t="s">
        <v>4</v>
      </c>
      <c r="B202" s="9" t="s">
        <v>5</v>
      </c>
      <c r="C202" s="9" t="s">
        <v>6</v>
      </c>
      <c r="D202" s="9" t="s">
        <v>7</v>
      </c>
      <c r="E202" s="9" t="s">
        <v>8</v>
      </c>
      <c r="F202" s="9" t="s">
        <v>9</v>
      </c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13">
        <v>1.0</v>
      </c>
      <c r="B203" s="54" t="s">
        <v>41</v>
      </c>
      <c r="C203" s="55">
        <v>45992.0</v>
      </c>
      <c r="D203" s="22">
        <v>243.63</v>
      </c>
      <c r="E203" s="56"/>
      <c r="F203" s="28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30" t="s">
        <v>32</v>
      </c>
      <c r="B204" s="31"/>
      <c r="C204" s="32"/>
      <c r="D204" s="24">
        <f>round(D203*(1+10%),2)</f>
        <v>267.99</v>
      </c>
      <c r="E204" s="57"/>
      <c r="F204" s="28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30" t="s">
        <v>42</v>
      </c>
      <c r="B205" s="31"/>
      <c r="C205" s="32"/>
      <c r="D205" s="24">
        <f>round(D204*11%,2)</f>
        <v>29.48</v>
      </c>
      <c r="E205" s="57"/>
      <c r="F205" s="28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33" t="s">
        <v>9</v>
      </c>
      <c r="B206" s="31"/>
      <c r="C206" s="32"/>
      <c r="D206" s="39">
        <f>D204-D205</f>
        <v>238.51</v>
      </c>
      <c r="E206" s="46">
        <v>26377.0</v>
      </c>
      <c r="F206" s="41">
        <f>D206*E206</f>
        <v>6291178.27</v>
      </c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33" t="s">
        <v>26</v>
      </c>
      <c r="B207" s="31"/>
      <c r="C207" s="32"/>
      <c r="D207" s="39"/>
      <c r="E207" s="46"/>
      <c r="F207" s="41">
        <f>round(F206*10%,0)</f>
        <v>629118</v>
      </c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33" t="s">
        <v>16</v>
      </c>
      <c r="B208" s="31"/>
      <c r="C208" s="32"/>
      <c r="D208" s="39"/>
      <c r="E208" s="46"/>
      <c r="F208" s="41">
        <f>F206+F207</f>
        <v>6920296.27</v>
      </c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52" t="s">
        <v>45</v>
      </c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53"/>
      <c r="B215" s="53"/>
      <c r="C215" s="53"/>
      <c r="D215" s="53"/>
      <c r="E215" s="53"/>
      <c r="F215" s="53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9" t="s">
        <v>4</v>
      </c>
      <c r="B216" s="9" t="s">
        <v>5</v>
      </c>
      <c r="C216" s="9" t="s">
        <v>6</v>
      </c>
      <c r="D216" s="9" t="s">
        <v>7</v>
      </c>
      <c r="E216" s="9" t="s">
        <v>8</v>
      </c>
      <c r="F216" s="9" t="s">
        <v>9</v>
      </c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13">
        <v>1.0</v>
      </c>
      <c r="B217" s="54" t="s">
        <v>41</v>
      </c>
      <c r="C217" s="55">
        <v>46023.0</v>
      </c>
      <c r="D217" s="22">
        <v>501.8</v>
      </c>
      <c r="E217" s="56"/>
      <c r="F217" s="28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30" t="s">
        <v>32</v>
      </c>
      <c r="B218" s="31"/>
      <c r="C218" s="32"/>
      <c r="D218" s="24">
        <f>round(D217*(1+10%),2)</f>
        <v>551.98</v>
      </c>
      <c r="E218" s="57"/>
      <c r="F218" s="28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30" t="s">
        <v>42</v>
      </c>
      <c r="B219" s="31"/>
      <c r="C219" s="32"/>
      <c r="D219" s="24">
        <f>round(D218*11%,2)</f>
        <v>60.72</v>
      </c>
      <c r="E219" s="57"/>
      <c r="F219" s="28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33" t="s">
        <v>9</v>
      </c>
      <c r="B220" s="31"/>
      <c r="C220" s="32"/>
      <c r="D220" s="39">
        <f>D218-D219</f>
        <v>491.26</v>
      </c>
      <c r="E220" s="46">
        <v>26145.0</v>
      </c>
      <c r="F220" s="41">
        <f>D220*E220</f>
        <v>12843992.7</v>
      </c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33" t="s">
        <v>26</v>
      </c>
      <c r="B221" s="31"/>
      <c r="C221" s="32"/>
      <c r="D221" s="39"/>
      <c r="E221" s="46"/>
      <c r="F221" s="41">
        <f>round(F220*10%,0)</f>
        <v>1284399</v>
      </c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33" t="s">
        <v>16</v>
      </c>
      <c r="B222" s="31"/>
      <c r="C222" s="32"/>
      <c r="D222" s="39"/>
      <c r="E222" s="46"/>
      <c r="F222" s="41">
        <f>F220+F221</f>
        <v>14128391.7</v>
      </c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52" t="s">
        <v>45</v>
      </c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53"/>
      <c r="B229" s="53"/>
      <c r="C229" s="53"/>
      <c r="D229" s="53"/>
      <c r="E229" s="53"/>
      <c r="F229" s="53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9" t="s">
        <v>4</v>
      </c>
      <c r="B230" s="9" t="s">
        <v>5</v>
      </c>
      <c r="C230" s="9" t="s">
        <v>6</v>
      </c>
      <c r="D230" s="9" t="s">
        <v>7</v>
      </c>
      <c r="E230" s="9" t="s">
        <v>8</v>
      </c>
      <c r="F230" s="9" t="s">
        <v>9</v>
      </c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13">
        <v>1.0</v>
      </c>
      <c r="B231" s="54" t="s">
        <v>41</v>
      </c>
      <c r="C231" s="55">
        <v>46054.0</v>
      </c>
      <c r="D231" s="22">
        <v>482.43</v>
      </c>
      <c r="E231" s="56"/>
      <c r="F231" s="28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30" t="s">
        <v>32</v>
      </c>
      <c r="B232" s="31"/>
      <c r="C232" s="32"/>
      <c r="D232" s="24">
        <f>round(D231*(1+10%),2)</f>
        <v>530.67</v>
      </c>
      <c r="E232" s="57"/>
      <c r="F232" s="28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30" t="s">
        <v>42</v>
      </c>
      <c r="B233" s="31"/>
      <c r="C233" s="32"/>
      <c r="D233" s="24">
        <f>round(D232*11%,2)</f>
        <v>58.37</v>
      </c>
      <c r="E233" s="57"/>
      <c r="F233" s="28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33" t="s">
        <v>9</v>
      </c>
      <c r="B234" s="31"/>
      <c r="C234" s="32"/>
      <c r="D234" s="39">
        <f>D232-D233</f>
        <v>472.3</v>
      </c>
      <c r="E234" s="46">
        <v>26240.0</v>
      </c>
      <c r="F234" s="41">
        <f>D234*E234</f>
        <v>12393152</v>
      </c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33" t="s">
        <v>26</v>
      </c>
      <c r="B235" s="31"/>
      <c r="C235" s="32"/>
      <c r="D235" s="39"/>
      <c r="E235" s="46"/>
      <c r="F235" s="41">
        <f>round(F234*10%,0)</f>
        <v>1239315</v>
      </c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33" t="s">
        <v>16</v>
      </c>
      <c r="B236" s="31"/>
      <c r="C236" s="32"/>
      <c r="D236" s="39"/>
      <c r="E236" s="46"/>
      <c r="F236" s="41">
        <f>F234+F235</f>
        <v>13632467</v>
      </c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52" t="s">
        <v>45</v>
      </c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53"/>
      <c r="B243" s="53"/>
      <c r="C243" s="53"/>
      <c r="D243" s="53"/>
      <c r="E243" s="53"/>
      <c r="F243" s="53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9" t="s">
        <v>4</v>
      </c>
      <c r="B244" s="9" t="s">
        <v>5</v>
      </c>
      <c r="C244" s="9" t="s">
        <v>6</v>
      </c>
      <c r="D244" s="9" t="s">
        <v>7</v>
      </c>
      <c r="E244" s="9" t="s">
        <v>8</v>
      </c>
      <c r="F244" s="9" t="s">
        <v>9</v>
      </c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13">
        <v>1.0</v>
      </c>
      <c r="B245" s="54" t="s">
        <v>41</v>
      </c>
      <c r="C245" s="55">
        <v>46082.0</v>
      </c>
      <c r="D245" s="22">
        <v>678.03</v>
      </c>
      <c r="E245" s="56"/>
      <c r="F245" s="28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30" t="s">
        <v>32</v>
      </c>
      <c r="B246" s="31"/>
      <c r="C246" s="32"/>
      <c r="D246" s="24">
        <f>round(D245*(1+10%),2)</f>
        <v>745.83</v>
      </c>
      <c r="E246" s="57"/>
      <c r="F246" s="28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30" t="s">
        <v>42</v>
      </c>
      <c r="B247" s="31"/>
      <c r="C247" s="32"/>
      <c r="D247" s="24">
        <f>round(D246*11%,2)</f>
        <v>82.04</v>
      </c>
      <c r="E247" s="57"/>
      <c r="F247" s="28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33" t="s">
        <v>9</v>
      </c>
      <c r="B248" s="31"/>
      <c r="C248" s="32"/>
      <c r="D248" s="39">
        <f>D246-D247</f>
        <v>663.79</v>
      </c>
      <c r="E248" s="46">
        <v>26357.0</v>
      </c>
      <c r="F248" s="41">
        <f>D248*E248</f>
        <v>17495513.03</v>
      </c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33" t="s">
        <v>26</v>
      </c>
      <c r="B249" s="31"/>
      <c r="C249" s="32"/>
      <c r="D249" s="39"/>
      <c r="E249" s="46"/>
      <c r="F249" s="41">
        <f>round(F248*10%,0)</f>
        <v>1749551</v>
      </c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33" t="s">
        <v>16</v>
      </c>
      <c r="B250" s="31"/>
      <c r="C250" s="32"/>
      <c r="D250" s="39"/>
      <c r="E250" s="46"/>
      <c r="F250" s="41">
        <f>F248+F249</f>
        <v>19245064.03</v>
      </c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52" t="s">
        <v>45</v>
      </c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53"/>
      <c r="B256" s="53"/>
      <c r="C256" s="53"/>
      <c r="D256" s="53"/>
      <c r="E256" s="53"/>
      <c r="F256" s="53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9" t="s">
        <v>4</v>
      </c>
      <c r="B257" s="9" t="s">
        <v>5</v>
      </c>
      <c r="C257" s="9" t="s">
        <v>6</v>
      </c>
      <c r="D257" s="9" t="s">
        <v>7</v>
      </c>
      <c r="E257" s="9" t="s">
        <v>8</v>
      </c>
      <c r="F257" s="9" t="s">
        <v>9</v>
      </c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13">
        <v>1.0</v>
      </c>
      <c r="B258" s="54" t="s">
        <v>41</v>
      </c>
      <c r="C258" s="55">
        <v>46113.0</v>
      </c>
      <c r="D258" s="22">
        <v>561.29</v>
      </c>
      <c r="E258" s="56"/>
      <c r="F258" s="28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30" t="s">
        <v>32</v>
      </c>
      <c r="B259" s="31"/>
      <c r="C259" s="32"/>
      <c r="D259" s="24">
        <f>round(D258*(1+10%),2)</f>
        <v>617.42</v>
      </c>
      <c r="E259" s="57"/>
      <c r="F259" s="28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30" t="s">
        <v>42</v>
      </c>
      <c r="B260" s="31"/>
      <c r="C260" s="32"/>
      <c r="D260" s="24">
        <f>round(D259*11%,2)</f>
        <v>67.92</v>
      </c>
      <c r="E260" s="57"/>
      <c r="F260" s="28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33" t="s">
        <v>9</v>
      </c>
      <c r="B261" s="31"/>
      <c r="C261" s="32"/>
      <c r="D261" s="39">
        <f>D259-D260</f>
        <v>549.5</v>
      </c>
      <c r="E261" s="46">
        <v>26368.0</v>
      </c>
      <c r="F261" s="41">
        <f>D261*E261</f>
        <v>14489216</v>
      </c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33" t="s">
        <v>26</v>
      </c>
      <c r="B262" s="31"/>
      <c r="C262" s="32"/>
      <c r="D262" s="39"/>
      <c r="E262" s="46"/>
      <c r="F262" s="41">
        <f>round(F261*10%,0)</f>
        <v>1448922</v>
      </c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33" t="s">
        <v>16</v>
      </c>
      <c r="B263" s="31"/>
      <c r="C263" s="32"/>
      <c r="D263" s="39"/>
      <c r="E263" s="46"/>
      <c r="F263" s="41">
        <f>F261+F262</f>
        <v>15938138</v>
      </c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52" t="s">
        <v>45</v>
      </c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53"/>
      <c r="B270" s="53"/>
      <c r="C270" s="53"/>
      <c r="D270" s="53"/>
      <c r="E270" s="53"/>
      <c r="F270" s="53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9" t="s">
        <v>4</v>
      </c>
      <c r="B271" s="9" t="s">
        <v>5</v>
      </c>
      <c r="C271" s="9" t="s">
        <v>6</v>
      </c>
      <c r="D271" s="9" t="s">
        <v>7</v>
      </c>
      <c r="E271" s="9" t="s">
        <v>8</v>
      </c>
      <c r="F271" s="9" t="s">
        <v>9</v>
      </c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13">
        <v>1.0</v>
      </c>
      <c r="B272" s="54" t="s">
        <v>41</v>
      </c>
      <c r="C272" s="55">
        <v>46143.0</v>
      </c>
      <c r="D272" s="22">
        <v>486.03</v>
      </c>
      <c r="E272" s="56"/>
      <c r="F272" s="28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30" t="s">
        <v>32</v>
      </c>
      <c r="B273" s="31"/>
      <c r="C273" s="32"/>
      <c r="D273" s="24">
        <f>round(D272*(1+10%),2)</f>
        <v>534.63</v>
      </c>
      <c r="E273" s="57"/>
      <c r="F273" s="28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30" t="s">
        <v>42</v>
      </c>
      <c r="B274" s="31"/>
      <c r="C274" s="32"/>
      <c r="D274" s="24">
        <f>round(D273*11%,2)</f>
        <v>58.81</v>
      </c>
      <c r="E274" s="57"/>
      <c r="F274" s="28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33" t="s">
        <v>9</v>
      </c>
      <c r="B275" s="31"/>
      <c r="C275" s="32"/>
      <c r="D275" s="39">
        <f>D273-D274</f>
        <v>475.82</v>
      </c>
      <c r="E275" s="46">
        <v>26395.0</v>
      </c>
      <c r="F275" s="41">
        <f>D275*E275</f>
        <v>12559268.9</v>
      </c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33" t="s">
        <v>26</v>
      </c>
      <c r="B276" s="31"/>
      <c r="C276" s="32"/>
      <c r="D276" s="39"/>
      <c r="E276" s="46"/>
      <c r="F276" s="41">
        <f>round(F275*10%,0)</f>
        <v>1255927</v>
      </c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33" t="s">
        <v>16</v>
      </c>
      <c r="B277" s="31"/>
      <c r="C277" s="32"/>
      <c r="D277" s="39"/>
      <c r="E277" s="46"/>
      <c r="F277" s="41">
        <f>F275+F276</f>
        <v>13815195.9</v>
      </c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52" t="s">
        <v>45</v>
      </c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53"/>
      <c r="B283" s="53"/>
      <c r="C283" s="53"/>
      <c r="D283" s="53"/>
      <c r="E283" s="53"/>
      <c r="F283" s="53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9" t="s">
        <v>4</v>
      </c>
      <c r="B284" s="9" t="s">
        <v>5</v>
      </c>
      <c r="C284" s="9" t="s">
        <v>6</v>
      </c>
      <c r="D284" s="9" t="s">
        <v>7</v>
      </c>
      <c r="E284" s="9" t="s">
        <v>8</v>
      </c>
      <c r="F284" s="9" t="s">
        <v>9</v>
      </c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13">
        <v>1.0</v>
      </c>
      <c r="B285" s="54" t="s">
        <v>41</v>
      </c>
      <c r="C285" s="55">
        <v>46174.0</v>
      </c>
      <c r="D285" s="22">
        <v>481.64</v>
      </c>
      <c r="E285" s="56"/>
      <c r="F285" s="28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30" t="s">
        <v>32</v>
      </c>
      <c r="B286" s="31"/>
      <c r="C286" s="32"/>
      <c r="D286" s="24">
        <f>round(D285*(1+10%),2)</f>
        <v>529.8</v>
      </c>
      <c r="E286" s="57"/>
      <c r="F286" s="28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30" t="s">
        <v>42</v>
      </c>
      <c r="B287" s="31"/>
      <c r="C287" s="32"/>
      <c r="D287" s="24">
        <f>round(D286*11%,2)</f>
        <v>58.28</v>
      </c>
      <c r="E287" s="57"/>
      <c r="F287" s="28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33" t="s">
        <v>9</v>
      </c>
      <c r="B288" s="31"/>
      <c r="C288" s="32"/>
      <c r="D288" s="39">
        <f>D286-D287</f>
        <v>471.52</v>
      </c>
      <c r="E288" s="46">
        <v>26466.0</v>
      </c>
      <c r="F288" s="41">
        <f>D288*E288</f>
        <v>12479248.32</v>
      </c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33" t="s">
        <v>26</v>
      </c>
      <c r="B289" s="31"/>
      <c r="C289" s="32"/>
      <c r="D289" s="39"/>
      <c r="E289" s="46"/>
      <c r="F289" s="41">
        <f>round(F288*10%,0)</f>
        <v>1247925</v>
      </c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33" t="s">
        <v>16</v>
      </c>
      <c r="B290" s="31"/>
      <c r="C290" s="32"/>
      <c r="D290" s="39"/>
      <c r="E290" s="46"/>
      <c r="F290" s="41">
        <f>F288+F289</f>
        <v>13727173.32</v>
      </c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52" t="s">
        <v>45</v>
      </c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53"/>
      <c r="B297" s="53"/>
      <c r="C297" s="53"/>
      <c r="D297" s="53"/>
      <c r="E297" s="53"/>
      <c r="F297" s="53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9" t="s">
        <v>4</v>
      </c>
      <c r="B298" s="9" t="s">
        <v>5</v>
      </c>
      <c r="C298" s="9" t="s">
        <v>6</v>
      </c>
      <c r="D298" s="9" t="s">
        <v>7</v>
      </c>
      <c r="E298" s="9" t="s">
        <v>8</v>
      </c>
      <c r="F298" s="9" t="s">
        <v>9</v>
      </c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13">
        <v>1.0</v>
      </c>
      <c r="B299" s="54" t="s">
        <v>41</v>
      </c>
      <c r="C299" s="55">
        <v>46204.0</v>
      </c>
      <c r="D299" s="22">
        <v>480.03</v>
      </c>
      <c r="E299" s="56"/>
      <c r="F299" s="28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30" t="s">
        <v>32</v>
      </c>
      <c r="B300" s="31"/>
      <c r="C300" s="32"/>
      <c r="D300" s="24">
        <f>round(D299*(1+10%),2)</f>
        <v>528.03</v>
      </c>
      <c r="E300" s="57"/>
      <c r="F300" s="28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30" t="s">
        <v>42</v>
      </c>
      <c r="B301" s="31"/>
      <c r="C301" s="32"/>
      <c r="D301" s="24">
        <f>round(D300*11%,2)</f>
        <v>58.08</v>
      </c>
      <c r="E301" s="57"/>
      <c r="F301" s="28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33" t="s">
        <v>9</v>
      </c>
      <c r="B302" s="31"/>
      <c r="C302" s="32"/>
      <c r="D302" s="39">
        <f>D300-D301</f>
        <v>469.95</v>
      </c>
      <c r="E302" s="46">
        <v>26475.0</v>
      </c>
      <c r="F302" s="41">
        <f>D302*E302</f>
        <v>12441926.25</v>
      </c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33" t="s">
        <v>26</v>
      </c>
      <c r="B303" s="31"/>
      <c r="C303" s="32"/>
      <c r="D303" s="39"/>
      <c r="E303" s="46"/>
      <c r="F303" s="41">
        <f>round(F302*10%,0)</f>
        <v>1244193</v>
      </c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33" t="s">
        <v>16</v>
      </c>
      <c r="B304" s="31"/>
      <c r="C304" s="32"/>
      <c r="D304" s="39"/>
      <c r="E304" s="46"/>
      <c r="F304" s="41">
        <f>F302+F303</f>
        <v>13686119.25</v>
      </c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</sheetData>
  <mergeCells count="144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49:F49"/>
    <mergeCell ref="A53:C53"/>
    <mergeCell ref="A54:C54"/>
    <mergeCell ref="A55:C55"/>
    <mergeCell ref="A56:C56"/>
    <mergeCell ref="A57:C57"/>
    <mergeCell ref="A61:F61"/>
    <mergeCell ref="A65:C65"/>
    <mergeCell ref="A66:C66"/>
    <mergeCell ref="A67:C67"/>
    <mergeCell ref="A68:C68"/>
    <mergeCell ref="A69:C69"/>
    <mergeCell ref="A73:F73"/>
    <mergeCell ref="A77:C77"/>
    <mergeCell ref="A78:C78"/>
    <mergeCell ref="A79:C79"/>
    <mergeCell ref="A80:C80"/>
    <mergeCell ref="A81:C81"/>
    <mergeCell ref="A85:F85"/>
    <mergeCell ref="A89:C89"/>
    <mergeCell ref="A90:C90"/>
    <mergeCell ref="A91:C91"/>
    <mergeCell ref="A92:C92"/>
    <mergeCell ref="A93:C93"/>
    <mergeCell ref="A97:F97"/>
    <mergeCell ref="A190:C190"/>
    <mergeCell ref="A191:C191"/>
    <mergeCell ref="A192:C192"/>
    <mergeCell ref="A193:C193"/>
    <mergeCell ref="A194:C194"/>
    <mergeCell ref="A200:F200"/>
    <mergeCell ref="A204:C204"/>
    <mergeCell ref="A205:C205"/>
    <mergeCell ref="A206:C206"/>
    <mergeCell ref="A207:C207"/>
    <mergeCell ref="A208:C208"/>
    <mergeCell ref="A214:F214"/>
    <mergeCell ref="A218:C218"/>
    <mergeCell ref="A219:C219"/>
    <mergeCell ref="A235:C235"/>
    <mergeCell ref="A236:C236"/>
    <mergeCell ref="A242:F242"/>
    <mergeCell ref="A246:C246"/>
    <mergeCell ref="A247:C247"/>
    <mergeCell ref="A248:C248"/>
    <mergeCell ref="A249:C249"/>
    <mergeCell ref="A250:C250"/>
    <mergeCell ref="A255:F255"/>
    <mergeCell ref="A259:C259"/>
    <mergeCell ref="A260:C260"/>
    <mergeCell ref="A261:C261"/>
    <mergeCell ref="A262:C262"/>
    <mergeCell ref="A263:C263"/>
    <mergeCell ref="A269:F269"/>
    <mergeCell ref="A273:C273"/>
    <mergeCell ref="A274:C274"/>
    <mergeCell ref="A275:C275"/>
    <mergeCell ref="A276:C276"/>
    <mergeCell ref="A277:C277"/>
    <mergeCell ref="A282:F282"/>
    <mergeCell ref="A301:C301"/>
    <mergeCell ref="A302:C302"/>
    <mergeCell ref="A303:C303"/>
    <mergeCell ref="A304:C304"/>
    <mergeCell ref="A286:C286"/>
    <mergeCell ref="A287:C287"/>
    <mergeCell ref="A288:C288"/>
    <mergeCell ref="A289:C289"/>
    <mergeCell ref="A290:C290"/>
    <mergeCell ref="A296:F296"/>
    <mergeCell ref="A300:C300"/>
    <mergeCell ref="A101:C101"/>
    <mergeCell ref="A102:C102"/>
    <mergeCell ref="A103:C103"/>
    <mergeCell ref="A104:C104"/>
    <mergeCell ref="A105:C105"/>
    <mergeCell ref="A109:F109"/>
    <mergeCell ref="A113:C113"/>
    <mergeCell ref="A114:C114"/>
    <mergeCell ref="A115:C115"/>
    <mergeCell ref="A116:C116"/>
    <mergeCell ref="A117:C117"/>
    <mergeCell ref="A121:F121"/>
    <mergeCell ref="A125:C125"/>
    <mergeCell ref="A126:C126"/>
    <mergeCell ref="A127:C127"/>
    <mergeCell ref="A128:C128"/>
    <mergeCell ref="A129:C129"/>
    <mergeCell ref="A133:F133"/>
    <mergeCell ref="A137:C137"/>
    <mergeCell ref="A138:C138"/>
    <mergeCell ref="A139:C139"/>
    <mergeCell ref="A140:C140"/>
    <mergeCell ref="A141:C141"/>
    <mergeCell ref="A146:F146"/>
    <mergeCell ref="A150:C150"/>
    <mergeCell ref="A151:C151"/>
    <mergeCell ref="A152:C152"/>
    <mergeCell ref="A153:C153"/>
    <mergeCell ref="A154:C154"/>
    <mergeCell ref="A159:F159"/>
    <mergeCell ref="A163:C163"/>
    <mergeCell ref="A164:C164"/>
    <mergeCell ref="A165:C165"/>
    <mergeCell ref="A166:C166"/>
    <mergeCell ref="A167:C167"/>
    <mergeCell ref="A173:F173"/>
    <mergeCell ref="A177:C177"/>
    <mergeCell ref="A178:C178"/>
    <mergeCell ref="A179:C179"/>
    <mergeCell ref="A180:C180"/>
    <mergeCell ref="A181:C181"/>
    <mergeCell ref="A186:F186"/>
    <mergeCell ref="A220:C220"/>
    <mergeCell ref="A221:C221"/>
    <mergeCell ref="A222:C222"/>
    <mergeCell ref="A228:F228"/>
    <mergeCell ref="A232:C232"/>
    <mergeCell ref="A233:C233"/>
    <mergeCell ref="A234:C23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55.38"/>
    <col customWidth="1" min="3" max="3" width="11.75"/>
    <col customWidth="1" min="4" max="4" width="19.38"/>
    <col customWidth="1" min="5" max="5" width="10.88"/>
    <col customWidth="1" min="6" max="6" width="18.5"/>
  </cols>
  <sheetData>
    <row r="1">
      <c r="A1" s="2" t="s">
        <v>46</v>
      </c>
    </row>
    <row r="2">
      <c r="A2" s="5"/>
      <c r="B2" s="5"/>
      <c r="C2" s="5"/>
      <c r="D2" s="5"/>
      <c r="E2" s="5"/>
      <c r="F2" s="5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15" t="s">
        <v>47</v>
      </c>
      <c r="C4" s="19">
        <v>45474.0</v>
      </c>
      <c r="D4" s="22">
        <v>677.79</v>
      </c>
      <c r="E4" s="25"/>
      <c r="F4" s="28"/>
    </row>
    <row r="5">
      <c r="A5" s="30" t="s">
        <v>21</v>
      </c>
      <c r="B5" s="31"/>
      <c r="C5" s="32"/>
      <c r="D5" s="24">
        <f>round(D4*(1+5.26%),2)</f>
        <v>713.44</v>
      </c>
      <c r="E5" s="38"/>
      <c r="F5" s="28"/>
    </row>
    <row r="6">
      <c r="A6" s="30" t="s">
        <v>24</v>
      </c>
      <c r="B6" s="31"/>
      <c r="C6" s="32"/>
      <c r="D6" s="24">
        <f>round(D5*10%,2)</f>
        <v>71.34</v>
      </c>
      <c r="E6" s="38"/>
      <c r="F6" s="28"/>
    </row>
    <row r="7">
      <c r="A7" s="33" t="s">
        <v>9</v>
      </c>
      <c r="B7" s="31"/>
      <c r="C7" s="32"/>
      <c r="D7" s="39">
        <f>D5-D6</f>
        <v>642.1</v>
      </c>
      <c r="E7" s="46">
        <v>25405.0</v>
      </c>
      <c r="F7" s="41">
        <f>D7*E7</f>
        <v>16312550.5</v>
      </c>
    </row>
    <row r="8">
      <c r="A8" s="33" t="s">
        <v>26</v>
      </c>
      <c r="B8" s="31"/>
      <c r="C8" s="32"/>
      <c r="D8" s="39"/>
      <c r="E8" s="46"/>
      <c r="F8" s="41">
        <f>round(F7*10%,0)</f>
        <v>1631255</v>
      </c>
    </row>
    <row r="9">
      <c r="A9" s="33" t="s">
        <v>16</v>
      </c>
      <c r="B9" s="31"/>
      <c r="C9" s="32"/>
      <c r="D9" s="39"/>
      <c r="E9" s="46"/>
      <c r="F9" s="41">
        <f>F7+F8</f>
        <v>17943805.5</v>
      </c>
    </row>
    <row r="13">
      <c r="A13" s="2" t="s">
        <v>46</v>
      </c>
    </row>
    <row r="14">
      <c r="A14" s="5"/>
      <c r="B14" s="5"/>
      <c r="C14" s="5"/>
      <c r="D14" s="5"/>
      <c r="E14" s="5"/>
      <c r="F14" s="5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>
      <c r="A16" s="13">
        <v>1.0</v>
      </c>
      <c r="B16" s="15" t="s">
        <v>47</v>
      </c>
      <c r="C16" s="19">
        <v>45505.0</v>
      </c>
      <c r="D16" s="22">
        <v>1018.72</v>
      </c>
      <c r="E16" s="25"/>
      <c r="F16" s="28"/>
    </row>
    <row r="17">
      <c r="A17" s="30" t="s">
        <v>21</v>
      </c>
      <c r="B17" s="31"/>
      <c r="C17" s="32"/>
      <c r="D17" s="24">
        <f>round(D16*(1+5.26%),2)</f>
        <v>1072.3</v>
      </c>
      <c r="E17" s="38"/>
      <c r="F17" s="28"/>
    </row>
    <row r="18">
      <c r="A18" s="30" t="s">
        <v>24</v>
      </c>
      <c r="B18" s="31"/>
      <c r="C18" s="32"/>
      <c r="D18" s="24">
        <f>round(D17*10%,2)</f>
        <v>107.23</v>
      </c>
      <c r="E18" s="38"/>
      <c r="F18" s="28"/>
    </row>
    <row r="19">
      <c r="A19" s="33" t="s">
        <v>9</v>
      </c>
      <c r="B19" s="31"/>
      <c r="C19" s="32"/>
      <c r="D19" s="39">
        <f>D17-D18</f>
        <v>965.07</v>
      </c>
      <c r="E19" s="46">
        <v>25080.0</v>
      </c>
      <c r="F19" s="41">
        <f>D19*E19</f>
        <v>24203955.6</v>
      </c>
    </row>
    <row r="20">
      <c r="A20" s="33" t="s">
        <v>26</v>
      </c>
      <c r="B20" s="31"/>
      <c r="C20" s="32"/>
      <c r="D20" s="39"/>
      <c r="E20" s="46"/>
      <c r="F20" s="41">
        <f>round(F19*10%,0)</f>
        <v>2420396</v>
      </c>
    </row>
    <row r="21">
      <c r="A21" s="33" t="s">
        <v>16</v>
      </c>
      <c r="B21" s="31"/>
      <c r="C21" s="32"/>
      <c r="D21" s="39"/>
      <c r="E21" s="46"/>
      <c r="F21" s="41">
        <f>F19+F20</f>
        <v>26624351.6</v>
      </c>
    </row>
    <row r="25">
      <c r="A25" s="2" t="s">
        <v>46</v>
      </c>
    </row>
    <row r="26">
      <c r="A26" s="5"/>
      <c r="B26" s="5"/>
      <c r="C26" s="5"/>
      <c r="D26" s="5"/>
      <c r="E26" s="5"/>
      <c r="F26" s="5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</row>
    <row r="28">
      <c r="A28" s="13">
        <v>1.0</v>
      </c>
      <c r="B28" s="15" t="s">
        <v>47</v>
      </c>
      <c r="C28" s="19">
        <v>45536.0</v>
      </c>
      <c r="D28" s="22">
        <v>1000.08</v>
      </c>
      <c r="E28" s="25"/>
      <c r="F28" s="28"/>
    </row>
    <row r="29">
      <c r="A29" s="30" t="s">
        <v>21</v>
      </c>
      <c r="B29" s="31"/>
      <c r="C29" s="32"/>
      <c r="D29" s="24">
        <f>round(D28*(1+5.26%),2)</f>
        <v>1052.68</v>
      </c>
      <c r="E29" s="38"/>
      <c r="F29" s="28"/>
    </row>
    <row r="30">
      <c r="A30" s="30" t="s">
        <v>24</v>
      </c>
      <c r="B30" s="31"/>
      <c r="C30" s="32"/>
      <c r="D30" s="24">
        <f>round(D29*10%,2)</f>
        <v>105.27</v>
      </c>
      <c r="E30" s="38"/>
      <c r="F30" s="28"/>
    </row>
    <row r="31">
      <c r="A31" s="33" t="s">
        <v>9</v>
      </c>
      <c r="B31" s="31"/>
      <c r="C31" s="32"/>
      <c r="D31" s="39">
        <f>D29-D30</f>
        <v>947.41</v>
      </c>
      <c r="E31" s="46">
        <v>24733.0</v>
      </c>
      <c r="F31" s="41">
        <f>D31*E31</f>
        <v>23432291.53</v>
      </c>
    </row>
    <row r="32">
      <c r="A32" s="33" t="s">
        <v>26</v>
      </c>
      <c r="B32" s="31"/>
      <c r="C32" s="32"/>
      <c r="D32" s="39"/>
      <c r="E32" s="46"/>
      <c r="F32" s="41">
        <f>round(F31*10%,0)</f>
        <v>2343229</v>
      </c>
    </row>
    <row r="33">
      <c r="A33" s="33" t="s">
        <v>16</v>
      </c>
      <c r="B33" s="31"/>
      <c r="C33" s="32"/>
      <c r="D33" s="39"/>
      <c r="E33" s="46"/>
      <c r="F33" s="41">
        <f>F31+F32</f>
        <v>25775520.53</v>
      </c>
    </row>
    <row r="38">
      <c r="A38" s="2" t="s">
        <v>46</v>
      </c>
    </row>
    <row r="39">
      <c r="A39" s="5"/>
      <c r="B39" s="5"/>
      <c r="C39" s="5"/>
      <c r="D39" s="5"/>
      <c r="E39" s="5"/>
      <c r="F39" s="5"/>
    </row>
    <row r="40">
      <c r="A40" s="9" t="s">
        <v>4</v>
      </c>
      <c r="B40" s="9" t="s">
        <v>5</v>
      </c>
      <c r="C40" s="9" t="s">
        <v>6</v>
      </c>
      <c r="D40" s="9" t="s">
        <v>7</v>
      </c>
      <c r="E40" s="9" t="s">
        <v>8</v>
      </c>
      <c r="F40" s="9" t="s">
        <v>9</v>
      </c>
    </row>
    <row r="41">
      <c r="A41" s="13">
        <v>1.0</v>
      </c>
      <c r="B41" s="15" t="s">
        <v>47</v>
      </c>
      <c r="C41" s="19">
        <v>45566.0</v>
      </c>
      <c r="D41" s="22">
        <v>1026.69</v>
      </c>
      <c r="E41" s="25"/>
      <c r="F41" s="28"/>
    </row>
    <row r="42">
      <c r="A42" s="30" t="s">
        <v>21</v>
      </c>
      <c r="B42" s="31"/>
      <c r="C42" s="32"/>
      <c r="D42" s="24">
        <f>round(D41*(1+5.26%),2)</f>
        <v>1080.69</v>
      </c>
      <c r="E42" s="38"/>
      <c r="F42" s="28"/>
    </row>
    <row r="43">
      <c r="A43" s="30" t="s">
        <v>24</v>
      </c>
      <c r="B43" s="31"/>
      <c r="C43" s="32"/>
      <c r="D43" s="24">
        <f>round(D42*10%,2)</f>
        <v>108.07</v>
      </c>
      <c r="E43" s="38"/>
      <c r="F43" s="28"/>
    </row>
    <row r="44">
      <c r="A44" s="33" t="s">
        <v>9</v>
      </c>
      <c r="B44" s="31"/>
      <c r="C44" s="32"/>
      <c r="D44" s="39">
        <f>D42-D43</f>
        <v>972.62</v>
      </c>
      <c r="E44" s="46">
        <v>25445.0</v>
      </c>
      <c r="F44" s="41">
        <f>D44*E44</f>
        <v>24748315.9</v>
      </c>
    </row>
    <row r="45">
      <c r="A45" s="33" t="s">
        <v>26</v>
      </c>
      <c r="B45" s="31"/>
      <c r="C45" s="32"/>
      <c r="D45" s="39"/>
      <c r="E45" s="46"/>
      <c r="F45" s="41">
        <f>round(F44*10%,0)</f>
        <v>2474832</v>
      </c>
    </row>
    <row r="46">
      <c r="A46" s="33" t="s">
        <v>16</v>
      </c>
      <c r="B46" s="31"/>
      <c r="C46" s="32"/>
      <c r="D46" s="39"/>
      <c r="E46" s="46"/>
      <c r="F46" s="41">
        <f>F44+F45</f>
        <v>27223147.9</v>
      </c>
    </row>
    <row r="50">
      <c r="A50" s="2" t="s">
        <v>46</v>
      </c>
    </row>
    <row r="51">
      <c r="A51" s="5"/>
      <c r="B51" s="5"/>
      <c r="C51" s="5"/>
      <c r="D51" s="5"/>
      <c r="E51" s="5"/>
      <c r="F51" s="5"/>
    </row>
    <row r="52">
      <c r="A52" s="9" t="s">
        <v>4</v>
      </c>
      <c r="B52" s="9" t="s">
        <v>5</v>
      </c>
      <c r="C52" s="9" t="s">
        <v>6</v>
      </c>
      <c r="D52" s="9" t="s">
        <v>7</v>
      </c>
      <c r="E52" s="9" t="s">
        <v>8</v>
      </c>
      <c r="F52" s="9" t="s">
        <v>9</v>
      </c>
    </row>
    <row r="53">
      <c r="A53" s="13">
        <v>1.0</v>
      </c>
      <c r="B53" s="15" t="s">
        <v>47</v>
      </c>
      <c r="C53" s="19">
        <v>45597.0</v>
      </c>
      <c r="D53" s="22">
        <v>645.42</v>
      </c>
      <c r="E53" s="25"/>
      <c r="F53" s="28"/>
    </row>
    <row r="54">
      <c r="A54" s="30" t="s">
        <v>21</v>
      </c>
      <c r="B54" s="31"/>
      <c r="C54" s="32"/>
      <c r="D54" s="24">
        <f>round(D53*(1+5.26%),2)</f>
        <v>679.37</v>
      </c>
      <c r="E54" s="38"/>
      <c r="F54" s="28"/>
    </row>
    <row r="55">
      <c r="A55" s="30" t="s">
        <v>24</v>
      </c>
      <c r="B55" s="31"/>
      <c r="C55" s="32"/>
      <c r="D55" s="24">
        <f>round(D54*10%,2)</f>
        <v>67.94</v>
      </c>
      <c r="E55" s="38"/>
      <c r="F55" s="28"/>
    </row>
    <row r="56">
      <c r="A56" s="33" t="s">
        <v>9</v>
      </c>
      <c r="B56" s="31"/>
      <c r="C56" s="32"/>
      <c r="D56" s="39">
        <f>D54-D55</f>
        <v>611.43</v>
      </c>
      <c r="E56" s="46">
        <v>25463.0</v>
      </c>
      <c r="F56" s="41">
        <f>D56*E56</f>
        <v>15568842.09</v>
      </c>
    </row>
    <row r="57">
      <c r="A57" s="33" t="s">
        <v>26</v>
      </c>
      <c r="B57" s="31"/>
      <c r="C57" s="32"/>
      <c r="D57" s="39"/>
      <c r="E57" s="46"/>
      <c r="F57" s="41">
        <f>round(F56*10%,0)</f>
        <v>1556884</v>
      </c>
    </row>
    <row r="58">
      <c r="A58" s="33" t="s">
        <v>16</v>
      </c>
      <c r="B58" s="31"/>
      <c r="C58" s="32"/>
      <c r="D58" s="39"/>
      <c r="E58" s="46"/>
      <c r="F58" s="41">
        <f>F56+F57</f>
        <v>17125726.09</v>
      </c>
    </row>
    <row r="62">
      <c r="A62" s="2" t="s">
        <v>50</v>
      </c>
    </row>
    <row r="63">
      <c r="A63" s="5"/>
      <c r="B63" s="5"/>
      <c r="C63" s="5"/>
      <c r="D63" s="5"/>
      <c r="E63" s="5"/>
      <c r="F63" s="5"/>
    </row>
    <row r="64">
      <c r="A64" s="9" t="s">
        <v>4</v>
      </c>
      <c r="B64" s="9" t="s">
        <v>5</v>
      </c>
      <c r="C64" s="9" t="s">
        <v>6</v>
      </c>
      <c r="D64" s="9" t="s">
        <v>7</v>
      </c>
      <c r="E64" s="9" t="s">
        <v>8</v>
      </c>
      <c r="F64" s="9" t="s">
        <v>9</v>
      </c>
    </row>
    <row r="65">
      <c r="A65" s="13">
        <v>1.0</v>
      </c>
      <c r="B65" s="15" t="s">
        <v>47</v>
      </c>
      <c r="C65" s="19">
        <v>45627.0</v>
      </c>
      <c r="D65" s="22">
        <v>604.08</v>
      </c>
      <c r="E65" s="25"/>
      <c r="F65" s="28"/>
    </row>
    <row r="66">
      <c r="A66" s="30" t="s">
        <v>21</v>
      </c>
      <c r="B66" s="31"/>
      <c r="C66" s="32"/>
      <c r="D66" s="24">
        <f>round(D65*(1+5.26%),2)</f>
        <v>635.85</v>
      </c>
      <c r="E66" s="38"/>
      <c r="F66" s="28"/>
    </row>
    <row r="67">
      <c r="A67" s="30" t="s">
        <v>24</v>
      </c>
      <c r="B67" s="31"/>
      <c r="C67" s="32"/>
      <c r="D67" s="24">
        <f>round(D66*10%,2)</f>
        <v>63.59</v>
      </c>
      <c r="E67" s="38"/>
      <c r="F67" s="28"/>
    </row>
    <row r="68">
      <c r="A68" s="33" t="s">
        <v>9</v>
      </c>
      <c r="B68" s="31"/>
      <c r="C68" s="32"/>
      <c r="D68" s="39">
        <f>D66-D67</f>
        <v>572.26</v>
      </c>
      <c r="E68" s="46">
        <v>25551.0</v>
      </c>
      <c r="F68" s="41">
        <f>D68*E68</f>
        <v>14621815.26</v>
      </c>
    </row>
    <row r="69">
      <c r="A69" s="33" t="s">
        <v>26</v>
      </c>
      <c r="B69" s="31"/>
      <c r="C69" s="32"/>
      <c r="D69" s="39"/>
      <c r="E69" s="46"/>
      <c r="F69" s="41">
        <f>round(F68*10%,0)</f>
        <v>1462182</v>
      </c>
    </row>
    <row r="70">
      <c r="A70" s="33" t="s">
        <v>16</v>
      </c>
      <c r="B70" s="31"/>
      <c r="C70" s="32"/>
      <c r="D70" s="39"/>
      <c r="E70" s="46"/>
      <c r="F70" s="41">
        <f>F68+F69</f>
        <v>16083997.26</v>
      </c>
    </row>
    <row r="74">
      <c r="A74" s="2" t="s">
        <v>50</v>
      </c>
    </row>
    <row r="75">
      <c r="A75" s="5"/>
      <c r="B75" s="5"/>
      <c r="C75" s="5"/>
      <c r="D75" s="5"/>
      <c r="E75" s="5"/>
      <c r="F75" s="5"/>
    </row>
    <row r="76">
      <c r="A76" s="9" t="s">
        <v>4</v>
      </c>
      <c r="B76" s="9" t="s">
        <v>5</v>
      </c>
      <c r="C76" s="9" t="s">
        <v>6</v>
      </c>
      <c r="D76" s="9" t="s">
        <v>7</v>
      </c>
      <c r="E76" s="9" t="s">
        <v>8</v>
      </c>
      <c r="F76" s="9" t="s">
        <v>9</v>
      </c>
    </row>
    <row r="77">
      <c r="A77" s="13">
        <v>1.0</v>
      </c>
      <c r="B77" s="15" t="s">
        <v>47</v>
      </c>
      <c r="C77" s="19">
        <v>45658.0</v>
      </c>
      <c r="D77" s="22">
        <v>604.48</v>
      </c>
      <c r="E77" s="25"/>
      <c r="F77" s="28"/>
    </row>
    <row r="78">
      <c r="A78" s="30" t="s">
        <v>21</v>
      </c>
      <c r="B78" s="31"/>
      <c r="C78" s="32"/>
      <c r="D78" s="24">
        <f>round(D77*(1+5.26%),2)</f>
        <v>636.28</v>
      </c>
      <c r="E78" s="38"/>
      <c r="F78" s="28"/>
    </row>
    <row r="79">
      <c r="A79" s="30" t="s">
        <v>24</v>
      </c>
      <c r="B79" s="31"/>
      <c r="C79" s="32"/>
      <c r="D79" s="24">
        <f>round(D78*10%,2)</f>
        <v>63.63</v>
      </c>
      <c r="E79" s="38"/>
      <c r="F79" s="28"/>
    </row>
    <row r="80">
      <c r="A80" s="33" t="s">
        <v>9</v>
      </c>
      <c r="B80" s="31"/>
      <c r="C80" s="32"/>
      <c r="D80" s="39">
        <f>D78-D79</f>
        <v>572.65</v>
      </c>
      <c r="E80" s="46">
        <v>25295.0</v>
      </c>
      <c r="F80" s="41">
        <f>D80*E80</f>
        <v>14485181.75</v>
      </c>
    </row>
    <row r="81">
      <c r="A81" s="33" t="s">
        <v>26</v>
      </c>
      <c r="B81" s="31"/>
      <c r="C81" s="32"/>
      <c r="D81" s="39"/>
      <c r="E81" s="46"/>
      <c r="F81" s="41">
        <f>round(F80*10%,0)</f>
        <v>1448518</v>
      </c>
    </row>
    <row r="82">
      <c r="A82" s="33" t="s">
        <v>16</v>
      </c>
      <c r="B82" s="31"/>
      <c r="C82" s="32"/>
      <c r="D82" s="39"/>
      <c r="E82" s="46"/>
      <c r="F82" s="41">
        <f>F80+F81</f>
        <v>15933699.75</v>
      </c>
    </row>
    <row r="86">
      <c r="A86" s="2" t="s">
        <v>50</v>
      </c>
    </row>
    <row r="87">
      <c r="A87" s="5"/>
      <c r="B87" s="5"/>
      <c r="C87" s="5"/>
      <c r="D87" s="5"/>
      <c r="E87" s="5"/>
      <c r="F87" s="5"/>
    </row>
    <row r="88">
      <c r="A88" s="9" t="s">
        <v>4</v>
      </c>
      <c r="B88" s="9" t="s">
        <v>5</v>
      </c>
      <c r="C88" s="9" t="s">
        <v>6</v>
      </c>
      <c r="D88" s="9" t="s">
        <v>7</v>
      </c>
      <c r="E88" s="9" t="s">
        <v>8</v>
      </c>
      <c r="F88" s="9" t="s">
        <v>9</v>
      </c>
    </row>
    <row r="89">
      <c r="A89" s="13">
        <v>1.0</v>
      </c>
      <c r="B89" s="15" t="s">
        <v>47</v>
      </c>
      <c r="C89" s="19">
        <v>45689.0</v>
      </c>
      <c r="D89" s="22">
        <v>604.08</v>
      </c>
      <c r="E89" s="25"/>
      <c r="F89" s="28"/>
    </row>
    <row r="90">
      <c r="A90" s="30" t="s">
        <v>21</v>
      </c>
      <c r="B90" s="31"/>
      <c r="C90" s="32"/>
      <c r="D90" s="24">
        <f>round(D89*(1+5.26%),2)</f>
        <v>635.85</v>
      </c>
      <c r="E90" s="38"/>
      <c r="F90" s="28"/>
    </row>
    <row r="91">
      <c r="A91" s="30" t="s">
        <v>24</v>
      </c>
      <c r="B91" s="31"/>
      <c r="C91" s="32"/>
      <c r="D91" s="24">
        <f>round(D90*10%,2)</f>
        <v>63.59</v>
      </c>
      <c r="E91" s="38"/>
      <c r="F91" s="28"/>
    </row>
    <row r="92">
      <c r="A92" s="33" t="s">
        <v>9</v>
      </c>
      <c r="B92" s="31"/>
      <c r="C92" s="32"/>
      <c r="D92" s="39">
        <f>D90-D91</f>
        <v>572.26</v>
      </c>
      <c r="E92" s="46">
        <v>25735.0</v>
      </c>
      <c r="F92" s="41">
        <f>D92*E92</f>
        <v>14727111.1</v>
      </c>
    </row>
    <row r="93">
      <c r="A93" s="33" t="s">
        <v>26</v>
      </c>
      <c r="B93" s="31"/>
      <c r="C93" s="32"/>
      <c r="D93" s="39"/>
      <c r="E93" s="46"/>
      <c r="F93" s="41">
        <f>round(F92*10%,0)</f>
        <v>1472711</v>
      </c>
    </row>
    <row r="94">
      <c r="A94" s="33" t="s">
        <v>16</v>
      </c>
      <c r="B94" s="31"/>
      <c r="C94" s="32"/>
      <c r="D94" s="39"/>
      <c r="E94" s="46"/>
      <c r="F94" s="41">
        <f>F92+F93</f>
        <v>16199822.1</v>
      </c>
    </row>
    <row r="98">
      <c r="A98" s="2" t="s">
        <v>50</v>
      </c>
    </row>
    <row r="99">
      <c r="A99" s="5"/>
      <c r="B99" s="5"/>
      <c r="C99" s="5"/>
      <c r="D99" s="5"/>
      <c r="E99" s="5"/>
      <c r="F99" s="5"/>
    </row>
    <row r="100">
      <c r="A100" s="9" t="s">
        <v>4</v>
      </c>
      <c r="B100" s="9" t="s">
        <v>5</v>
      </c>
      <c r="C100" s="9" t="s">
        <v>6</v>
      </c>
      <c r="D100" s="9" t="s">
        <v>7</v>
      </c>
      <c r="E100" s="9" t="s">
        <v>8</v>
      </c>
      <c r="F100" s="9" t="s">
        <v>9</v>
      </c>
    </row>
    <row r="101">
      <c r="A101" s="13">
        <v>1.0</v>
      </c>
      <c r="B101" s="15" t="s">
        <v>47</v>
      </c>
      <c r="C101" s="19">
        <v>45717.0</v>
      </c>
      <c r="D101" s="22">
        <v>604.08</v>
      </c>
      <c r="E101" s="25"/>
      <c r="F101" s="28"/>
    </row>
    <row r="102">
      <c r="A102" s="30" t="s">
        <v>21</v>
      </c>
      <c r="B102" s="31"/>
      <c r="C102" s="32"/>
      <c r="D102" s="24">
        <f>round(D101*(1+5.26%),2)</f>
        <v>635.85</v>
      </c>
      <c r="E102" s="38"/>
      <c r="F102" s="28"/>
    </row>
    <row r="103">
      <c r="A103" s="30" t="s">
        <v>24</v>
      </c>
      <c r="B103" s="31"/>
      <c r="C103" s="32"/>
      <c r="D103" s="24">
        <f>round(D102*10%,2)</f>
        <v>63.59</v>
      </c>
      <c r="E103" s="38"/>
      <c r="F103" s="28"/>
    </row>
    <row r="104">
      <c r="A104" s="33" t="s">
        <v>9</v>
      </c>
      <c r="B104" s="31"/>
      <c r="C104" s="32"/>
      <c r="D104" s="39">
        <f>D102-D103</f>
        <v>572.26</v>
      </c>
      <c r="E104" s="46">
        <v>25775.0</v>
      </c>
      <c r="F104" s="41">
        <f>D104*E104</f>
        <v>14750001.5</v>
      </c>
    </row>
    <row r="105">
      <c r="A105" s="33" t="s">
        <v>26</v>
      </c>
      <c r="B105" s="31"/>
      <c r="C105" s="32"/>
      <c r="D105" s="39"/>
      <c r="E105" s="46"/>
      <c r="F105" s="41">
        <f>round(F104*10%,0)</f>
        <v>1475000</v>
      </c>
    </row>
    <row r="106">
      <c r="A106" s="33" t="s">
        <v>16</v>
      </c>
      <c r="B106" s="31"/>
      <c r="C106" s="32"/>
      <c r="D106" s="39"/>
      <c r="E106" s="46"/>
      <c r="F106" s="41">
        <f>F104+F105</f>
        <v>16225001.5</v>
      </c>
    </row>
    <row r="110">
      <c r="A110" s="2" t="s">
        <v>50</v>
      </c>
    </row>
    <row r="111">
      <c r="A111" s="5"/>
      <c r="B111" s="5"/>
      <c r="C111" s="5"/>
      <c r="D111" s="5"/>
      <c r="E111" s="5"/>
      <c r="F111" s="5"/>
    </row>
    <row r="112">
      <c r="A112" s="9" t="s">
        <v>4</v>
      </c>
      <c r="B112" s="9" t="s">
        <v>5</v>
      </c>
      <c r="C112" s="9" t="s">
        <v>6</v>
      </c>
      <c r="D112" s="9" t="s">
        <v>7</v>
      </c>
      <c r="E112" s="9" t="s">
        <v>8</v>
      </c>
      <c r="F112" s="9" t="s">
        <v>9</v>
      </c>
    </row>
    <row r="113">
      <c r="A113" s="13">
        <v>1.0</v>
      </c>
      <c r="B113" s="15" t="s">
        <v>47</v>
      </c>
      <c r="C113" s="19">
        <v>45748.0</v>
      </c>
      <c r="D113" s="22">
        <v>604.08</v>
      </c>
      <c r="E113" s="25"/>
      <c r="F113" s="28"/>
    </row>
    <row r="114">
      <c r="A114" s="30" t="s">
        <v>21</v>
      </c>
      <c r="B114" s="31"/>
      <c r="C114" s="32"/>
      <c r="D114" s="24">
        <f>round(D113*(1+5.26%),2)</f>
        <v>635.85</v>
      </c>
      <c r="E114" s="38"/>
      <c r="F114" s="28"/>
    </row>
    <row r="115">
      <c r="A115" s="30" t="s">
        <v>24</v>
      </c>
      <c r="B115" s="31"/>
      <c r="C115" s="32"/>
      <c r="D115" s="24">
        <f>round(D114*10%,2)</f>
        <v>63.59</v>
      </c>
      <c r="E115" s="38"/>
      <c r="F115" s="28"/>
    </row>
    <row r="116">
      <c r="A116" s="33" t="s">
        <v>9</v>
      </c>
      <c r="B116" s="31"/>
      <c r="C116" s="32"/>
      <c r="D116" s="39">
        <f>D114-D115</f>
        <v>572.26</v>
      </c>
      <c r="E116" s="46">
        <v>26190.0</v>
      </c>
      <c r="F116" s="41">
        <f>D116*E116</f>
        <v>14987489.4</v>
      </c>
    </row>
    <row r="117">
      <c r="A117" s="33" t="s">
        <v>26</v>
      </c>
      <c r="B117" s="31"/>
      <c r="C117" s="32"/>
      <c r="D117" s="39"/>
      <c r="E117" s="46"/>
      <c r="F117" s="41">
        <f>round(F116*10%,0)</f>
        <v>1498749</v>
      </c>
    </row>
    <row r="118">
      <c r="A118" s="33" t="s">
        <v>16</v>
      </c>
      <c r="B118" s="31"/>
      <c r="C118" s="32"/>
      <c r="D118" s="39"/>
      <c r="E118" s="46"/>
      <c r="F118" s="41">
        <f>F116+F117</f>
        <v>16486238.4</v>
      </c>
    </row>
    <row r="122">
      <c r="A122" s="2" t="s">
        <v>50</v>
      </c>
    </row>
    <row r="123">
      <c r="A123" s="5"/>
      <c r="B123" s="5"/>
      <c r="C123" s="5"/>
      <c r="D123" s="5"/>
      <c r="E123" s="5"/>
      <c r="F123" s="5"/>
    </row>
    <row r="124">
      <c r="A124" s="9" t="s">
        <v>4</v>
      </c>
      <c r="B124" s="9" t="s">
        <v>5</v>
      </c>
      <c r="C124" s="9" t="s">
        <v>6</v>
      </c>
      <c r="D124" s="9" t="s">
        <v>7</v>
      </c>
      <c r="E124" s="9" t="s">
        <v>8</v>
      </c>
      <c r="F124" s="9" t="s">
        <v>9</v>
      </c>
    </row>
    <row r="125">
      <c r="A125" s="13">
        <v>1.0</v>
      </c>
      <c r="B125" s="15" t="s">
        <v>47</v>
      </c>
      <c r="C125" s="19">
        <v>45778.0</v>
      </c>
      <c r="D125" s="22">
        <v>622.91</v>
      </c>
      <c r="E125" s="25"/>
      <c r="F125" s="28"/>
    </row>
    <row r="126">
      <c r="A126" s="30" t="s">
        <v>21</v>
      </c>
      <c r="B126" s="31"/>
      <c r="C126" s="32"/>
      <c r="D126" s="24">
        <f>round(D125*(1+5.26%),2)</f>
        <v>655.68</v>
      </c>
      <c r="E126" s="38"/>
      <c r="F126" s="28"/>
    </row>
    <row r="127">
      <c r="A127" s="30" t="s">
        <v>24</v>
      </c>
      <c r="B127" s="31"/>
      <c r="C127" s="32"/>
      <c r="D127" s="24">
        <f>round(D126*10%,2)</f>
        <v>65.57</v>
      </c>
      <c r="E127" s="38"/>
      <c r="F127" s="28"/>
    </row>
    <row r="128">
      <c r="A128" s="33" t="s">
        <v>9</v>
      </c>
      <c r="B128" s="31"/>
      <c r="C128" s="32"/>
      <c r="D128" s="39">
        <f>D126-D127</f>
        <v>590.11</v>
      </c>
      <c r="E128" s="46">
        <v>26225.0</v>
      </c>
      <c r="F128" s="41">
        <f>round(D128*E128,0)</f>
        <v>15475635</v>
      </c>
    </row>
    <row r="129">
      <c r="A129" s="33" t="s">
        <v>26</v>
      </c>
      <c r="B129" s="31"/>
      <c r="C129" s="32"/>
      <c r="D129" s="39"/>
      <c r="E129" s="46"/>
      <c r="F129" s="41">
        <f>round(F128*10%,0)</f>
        <v>1547564</v>
      </c>
    </row>
    <row r="130">
      <c r="A130" s="33" t="s">
        <v>16</v>
      </c>
      <c r="B130" s="31"/>
      <c r="C130" s="32"/>
      <c r="D130" s="39"/>
      <c r="E130" s="46"/>
      <c r="F130" s="41">
        <f>F128+F129</f>
        <v>17023199</v>
      </c>
    </row>
    <row r="134">
      <c r="A134" s="2" t="s">
        <v>50</v>
      </c>
    </row>
    <row r="135">
      <c r="A135" s="5"/>
      <c r="B135" s="5"/>
      <c r="C135" s="5"/>
      <c r="D135" s="5"/>
      <c r="E135" s="5"/>
      <c r="F135" s="5"/>
    </row>
    <row r="136">
      <c r="A136" s="9" t="s">
        <v>4</v>
      </c>
      <c r="B136" s="9" t="s">
        <v>5</v>
      </c>
      <c r="C136" s="9" t="s">
        <v>6</v>
      </c>
      <c r="D136" s="9" t="s">
        <v>7</v>
      </c>
      <c r="E136" s="9" t="s">
        <v>8</v>
      </c>
      <c r="F136" s="9" t="s">
        <v>9</v>
      </c>
    </row>
    <row r="137">
      <c r="A137" s="13">
        <v>1.0</v>
      </c>
      <c r="B137" s="15" t="s">
        <v>47</v>
      </c>
      <c r="C137" s="19">
        <v>45809.0</v>
      </c>
      <c r="D137" s="22">
        <v>686.72</v>
      </c>
      <c r="E137" s="25"/>
      <c r="F137" s="28"/>
    </row>
    <row r="138">
      <c r="A138" s="30" t="s">
        <v>21</v>
      </c>
      <c r="B138" s="31"/>
      <c r="C138" s="32"/>
      <c r="D138" s="24">
        <f>round(D137*(1+5.26%),2)</f>
        <v>722.84</v>
      </c>
      <c r="E138" s="38"/>
      <c r="F138" s="28"/>
    </row>
    <row r="139">
      <c r="A139" s="30" t="s">
        <v>24</v>
      </c>
      <c r="B139" s="31"/>
      <c r="C139" s="32"/>
      <c r="D139" s="24">
        <f>round(D138*10%,2)</f>
        <v>72.28</v>
      </c>
      <c r="E139" s="38"/>
      <c r="F139" s="28"/>
    </row>
    <row r="140">
      <c r="A140" s="33" t="s">
        <v>9</v>
      </c>
      <c r="B140" s="31"/>
      <c r="C140" s="32"/>
      <c r="D140" s="39">
        <f>D138-D139</f>
        <v>650.56</v>
      </c>
      <c r="E140" s="46">
        <v>26300.0</v>
      </c>
      <c r="F140" s="41">
        <f>round(D140*E140,0)</f>
        <v>17109728</v>
      </c>
    </row>
    <row r="141">
      <c r="A141" s="33" t="s">
        <v>26</v>
      </c>
      <c r="B141" s="31"/>
      <c r="C141" s="32"/>
      <c r="D141" s="39"/>
      <c r="E141" s="46"/>
      <c r="F141" s="41">
        <f>round(F140*10%,0)</f>
        <v>1710973</v>
      </c>
    </row>
    <row r="142">
      <c r="A142" s="33" t="s">
        <v>16</v>
      </c>
      <c r="B142" s="31"/>
      <c r="C142" s="32"/>
      <c r="D142" s="39"/>
      <c r="E142" s="46"/>
      <c r="F142" s="41">
        <f>F140+F141</f>
        <v>18820701</v>
      </c>
    </row>
    <row r="146">
      <c r="A146" s="2" t="s">
        <v>50</v>
      </c>
    </row>
    <row r="147">
      <c r="A147" s="5"/>
      <c r="B147" s="5"/>
      <c r="C147" s="5"/>
      <c r="D147" s="5"/>
      <c r="E147" s="5"/>
      <c r="F147" s="5"/>
    </row>
    <row r="148">
      <c r="A148" s="9" t="s">
        <v>4</v>
      </c>
      <c r="B148" s="9" t="s">
        <v>5</v>
      </c>
      <c r="C148" s="9" t="s">
        <v>6</v>
      </c>
      <c r="D148" s="9" t="s">
        <v>7</v>
      </c>
      <c r="E148" s="9" t="s">
        <v>8</v>
      </c>
      <c r="F148" s="9" t="s">
        <v>9</v>
      </c>
    </row>
    <row r="149">
      <c r="A149" s="13">
        <v>1.0</v>
      </c>
      <c r="B149" s="15" t="s">
        <v>47</v>
      </c>
      <c r="C149" s="19">
        <v>45839.0</v>
      </c>
      <c r="D149" s="22">
        <v>686.72</v>
      </c>
      <c r="E149" s="25"/>
      <c r="F149" s="28"/>
    </row>
    <row r="150">
      <c r="A150" s="30" t="s">
        <v>32</v>
      </c>
      <c r="B150" s="31"/>
      <c r="C150" s="32"/>
      <c r="D150" s="24">
        <f>round(D149*(1+10%),2)</f>
        <v>755.39</v>
      </c>
      <c r="E150" s="38"/>
      <c r="F150" s="28"/>
    </row>
    <row r="151">
      <c r="A151" s="30" t="s">
        <v>24</v>
      </c>
      <c r="B151" s="31"/>
      <c r="C151" s="32"/>
      <c r="D151" s="24">
        <f>round(D150*10%,2)</f>
        <v>75.54</v>
      </c>
      <c r="E151" s="38"/>
      <c r="F151" s="28"/>
    </row>
    <row r="152">
      <c r="A152" s="33" t="s">
        <v>9</v>
      </c>
      <c r="B152" s="31"/>
      <c r="C152" s="32"/>
      <c r="D152" s="39">
        <f>D150-D151</f>
        <v>679.85</v>
      </c>
      <c r="E152" s="46">
        <v>26382.0</v>
      </c>
      <c r="F152" s="41">
        <f>round(D152*E152,0)</f>
        <v>17935803</v>
      </c>
    </row>
    <row r="153">
      <c r="A153" s="33" t="s">
        <v>26</v>
      </c>
      <c r="B153" s="31"/>
      <c r="C153" s="32"/>
      <c r="D153" s="39"/>
      <c r="E153" s="46"/>
      <c r="F153" s="41">
        <f>round(F152*10%,0)</f>
        <v>1793580</v>
      </c>
    </row>
    <row r="154">
      <c r="A154" s="33" t="s">
        <v>16</v>
      </c>
      <c r="B154" s="31"/>
      <c r="C154" s="32"/>
      <c r="D154" s="39"/>
      <c r="E154" s="46"/>
      <c r="F154" s="41">
        <f>F152+F153</f>
        <v>19729383</v>
      </c>
    </row>
    <row r="159">
      <c r="A159" s="2" t="s">
        <v>50</v>
      </c>
    </row>
    <row r="160">
      <c r="A160" s="5"/>
      <c r="B160" s="5"/>
      <c r="C160" s="5"/>
      <c r="D160" s="5"/>
      <c r="E160" s="5"/>
      <c r="F160" s="5"/>
    </row>
    <row r="161">
      <c r="A161" s="9" t="s">
        <v>4</v>
      </c>
      <c r="B161" s="9" t="s">
        <v>5</v>
      </c>
      <c r="C161" s="9" t="s">
        <v>6</v>
      </c>
      <c r="D161" s="9" t="s">
        <v>7</v>
      </c>
      <c r="E161" s="9" t="s">
        <v>8</v>
      </c>
      <c r="F161" s="9" t="s">
        <v>9</v>
      </c>
    </row>
    <row r="162">
      <c r="A162" s="13">
        <v>1.0</v>
      </c>
      <c r="B162" s="15" t="s">
        <v>47</v>
      </c>
      <c r="C162" s="19">
        <v>45870.0</v>
      </c>
      <c r="D162" s="22">
        <v>687.08</v>
      </c>
      <c r="E162" s="25"/>
      <c r="F162" s="28"/>
    </row>
    <row r="163">
      <c r="A163" s="30" t="s">
        <v>32</v>
      </c>
      <c r="B163" s="31"/>
      <c r="C163" s="32"/>
      <c r="D163" s="24">
        <f>round(D162*(1+10%),2)</f>
        <v>755.79</v>
      </c>
      <c r="E163" s="38"/>
      <c r="F163" s="28"/>
    </row>
    <row r="164">
      <c r="A164" s="30" t="s">
        <v>24</v>
      </c>
      <c r="B164" s="31"/>
      <c r="C164" s="32"/>
      <c r="D164" s="24">
        <f>round(D163*10%,2)</f>
        <v>75.58</v>
      </c>
      <c r="E164" s="38"/>
      <c r="F164" s="28"/>
    </row>
    <row r="165">
      <c r="A165" s="33" t="s">
        <v>9</v>
      </c>
      <c r="B165" s="31"/>
      <c r="C165" s="32"/>
      <c r="D165" s="39">
        <f>D163-D164</f>
        <v>680.21</v>
      </c>
      <c r="E165" s="46">
        <v>26502.0</v>
      </c>
      <c r="F165" s="41">
        <f>round(D165*E165,0)</f>
        <v>18026925</v>
      </c>
    </row>
    <row r="166">
      <c r="A166" s="33" t="s">
        <v>26</v>
      </c>
      <c r="B166" s="31"/>
      <c r="C166" s="32"/>
      <c r="D166" s="39"/>
      <c r="E166" s="46"/>
      <c r="F166" s="41">
        <f>round(F165*10%,0)</f>
        <v>1802693</v>
      </c>
    </row>
    <row r="167">
      <c r="A167" s="33" t="s">
        <v>16</v>
      </c>
      <c r="B167" s="31"/>
      <c r="C167" s="32"/>
      <c r="D167" s="39"/>
      <c r="E167" s="46"/>
      <c r="F167" s="41">
        <f>F165+F166</f>
        <v>19829618</v>
      </c>
    </row>
    <row r="173">
      <c r="A173" s="2" t="s">
        <v>50</v>
      </c>
    </row>
    <row r="174">
      <c r="A174" s="5"/>
      <c r="B174" s="5"/>
      <c r="C174" s="5"/>
      <c r="D174" s="5"/>
      <c r="E174" s="5"/>
      <c r="F174" s="5"/>
    </row>
    <row r="175">
      <c r="A175" s="9" t="s">
        <v>4</v>
      </c>
      <c r="B175" s="9" t="s">
        <v>5</v>
      </c>
      <c r="C175" s="9" t="s">
        <v>6</v>
      </c>
      <c r="D175" s="9" t="s">
        <v>7</v>
      </c>
      <c r="E175" s="9" t="s">
        <v>8</v>
      </c>
      <c r="F175" s="9" t="s">
        <v>9</v>
      </c>
    </row>
    <row r="176">
      <c r="A176" s="13">
        <v>1.0</v>
      </c>
      <c r="B176" s="15" t="s">
        <v>47</v>
      </c>
      <c r="C176" s="19">
        <v>45901.0</v>
      </c>
      <c r="D176" s="22">
        <v>702.43</v>
      </c>
      <c r="E176" s="25"/>
      <c r="F176" s="28"/>
    </row>
    <row r="177">
      <c r="A177" s="30" t="s">
        <v>32</v>
      </c>
      <c r="B177" s="31"/>
      <c r="C177" s="32"/>
      <c r="D177" s="24">
        <f>round(D176*(1+10%),2)</f>
        <v>772.67</v>
      </c>
      <c r="E177" s="38"/>
      <c r="F177" s="28"/>
    </row>
    <row r="178">
      <c r="A178" s="30" t="s">
        <v>24</v>
      </c>
      <c r="B178" s="31"/>
      <c r="C178" s="32"/>
      <c r="D178" s="24">
        <f>round(D177*10%,2)</f>
        <v>77.27</v>
      </c>
      <c r="E178" s="38"/>
      <c r="F178" s="28"/>
    </row>
    <row r="179">
      <c r="A179" s="33" t="s">
        <v>9</v>
      </c>
      <c r="B179" s="31"/>
      <c r="C179" s="32"/>
      <c r="D179" s="39">
        <f>D177-D178</f>
        <v>695.4</v>
      </c>
      <c r="E179" s="46">
        <v>26446.0</v>
      </c>
      <c r="F179" s="41">
        <f>round(D179*E179,0)</f>
        <v>18390548</v>
      </c>
    </row>
    <row r="180">
      <c r="A180" s="33" t="s">
        <v>26</v>
      </c>
      <c r="B180" s="31"/>
      <c r="C180" s="32"/>
      <c r="D180" s="39"/>
      <c r="E180" s="46"/>
      <c r="F180" s="41">
        <f>round(F179*10%,0)</f>
        <v>1839055</v>
      </c>
    </row>
    <row r="181">
      <c r="A181" s="33" t="s">
        <v>16</v>
      </c>
      <c r="B181" s="31"/>
      <c r="C181" s="32"/>
      <c r="D181" s="39"/>
      <c r="E181" s="46"/>
      <c r="F181" s="41">
        <f>F179+F180</f>
        <v>20229603</v>
      </c>
    </row>
    <row r="187">
      <c r="A187" s="2" t="s">
        <v>50</v>
      </c>
    </row>
    <row r="188">
      <c r="A188" s="5"/>
      <c r="B188" s="5"/>
      <c r="C188" s="5"/>
      <c r="D188" s="5"/>
      <c r="E188" s="5"/>
      <c r="F188" s="5"/>
    </row>
    <row r="189">
      <c r="A189" s="9" t="s">
        <v>4</v>
      </c>
      <c r="B189" s="9" t="s">
        <v>5</v>
      </c>
      <c r="C189" s="9" t="s">
        <v>6</v>
      </c>
      <c r="D189" s="9" t="s">
        <v>7</v>
      </c>
      <c r="E189" s="9" t="s">
        <v>8</v>
      </c>
      <c r="F189" s="9" t="s">
        <v>9</v>
      </c>
    </row>
    <row r="190">
      <c r="A190" s="13">
        <v>1.0</v>
      </c>
      <c r="B190" s="15" t="s">
        <v>47</v>
      </c>
      <c r="C190" s="19">
        <v>45931.0</v>
      </c>
      <c r="D190" s="22">
        <v>710.72</v>
      </c>
      <c r="E190" s="25"/>
      <c r="F190" s="28"/>
    </row>
    <row r="191">
      <c r="A191" s="30" t="s">
        <v>32</v>
      </c>
      <c r="B191" s="31"/>
      <c r="C191" s="32"/>
      <c r="D191" s="24">
        <f>round(D190*(1+10%),2)</f>
        <v>781.79</v>
      </c>
      <c r="E191" s="38"/>
      <c r="F191" s="28"/>
    </row>
    <row r="192">
      <c r="A192" s="30" t="s">
        <v>24</v>
      </c>
      <c r="B192" s="31"/>
      <c r="C192" s="32"/>
      <c r="D192" s="24">
        <f>round(D191*10%,2)</f>
        <v>78.18</v>
      </c>
      <c r="E192" s="38"/>
      <c r="F192" s="28"/>
    </row>
    <row r="193">
      <c r="A193" s="33" t="s">
        <v>9</v>
      </c>
      <c r="B193" s="31"/>
      <c r="C193" s="32"/>
      <c r="D193" s="39">
        <f>D191-D192</f>
        <v>703.61</v>
      </c>
      <c r="E193" s="46">
        <v>26347.0</v>
      </c>
      <c r="F193" s="41">
        <f>round(D193*E193,0)</f>
        <v>18538013</v>
      </c>
    </row>
    <row r="194">
      <c r="A194" s="33" t="s">
        <v>26</v>
      </c>
      <c r="B194" s="31"/>
      <c r="C194" s="32"/>
      <c r="D194" s="39"/>
      <c r="E194" s="46"/>
      <c r="F194" s="41">
        <f>round(F193*10%,0)</f>
        <v>1853801</v>
      </c>
    </row>
    <row r="195">
      <c r="A195" s="33" t="s">
        <v>16</v>
      </c>
      <c r="B195" s="31"/>
      <c r="C195" s="32"/>
      <c r="D195" s="39"/>
      <c r="E195" s="46"/>
      <c r="F195" s="41">
        <f>F193+F194</f>
        <v>20391814</v>
      </c>
    </row>
    <row r="201">
      <c r="A201" s="2" t="s">
        <v>50</v>
      </c>
    </row>
    <row r="202">
      <c r="A202" s="5"/>
      <c r="B202" s="5"/>
      <c r="C202" s="5"/>
      <c r="D202" s="5"/>
      <c r="E202" s="5"/>
      <c r="F202" s="5"/>
    </row>
    <row r="203">
      <c r="A203" s="9" t="s">
        <v>4</v>
      </c>
      <c r="B203" s="9" t="s">
        <v>5</v>
      </c>
      <c r="C203" s="9" t="s">
        <v>6</v>
      </c>
      <c r="D203" s="9" t="s">
        <v>7</v>
      </c>
      <c r="E203" s="9" t="s">
        <v>8</v>
      </c>
      <c r="F203" s="9" t="s">
        <v>9</v>
      </c>
    </row>
    <row r="204">
      <c r="A204" s="13">
        <v>1.0</v>
      </c>
      <c r="B204" s="15" t="s">
        <v>47</v>
      </c>
      <c r="C204" s="19">
        <v>45962.0</v>
      </c>
      <c r="D204" s="22">
        <v>710.72</v>
      </c>
      <c r="E204" s="25"/>
      <c r="F204" s="28"/>
    </row>
    <row r="205">
      <c r="A205" s="30" t="s">
        <v>32</v>
      </c>
      <c r="B205" s="31"/>
      <c r="C205" s="32"/>
      <c r="D205" s="24">
        <f>round(D204*(1+10%),2)</f>
        <v>781.79</v>
      </c>
      <c r="E205" s="38"/>
      <c r="F205" s="28"/>
    </row>
    <row r="206">
      <c r="A206" s="30" t="s">
        <v>24</v>
      </c>
      <c r="B206" s="31"/>
      <c r="C206" s="32"/>
      <c r="D206" s="24">
        <f>round(D205*10%,2)</f>
        <v>78.18</v>
      </c>
      <c r="E206" s="38"/>
      <c r="F206" s="28"/>
    </row>
    <row r="207">
      <c r="A207" s="33" t="s">
        <v>9</v>
      </c>
      <c r="B207" s="31"/>
      <c r="C207" s="32"/>
      <c r="D207" s="39">
        <f>D205-D206</f>
        <v>703.61</v>
      </c>
      <c r="E207" s="46">
        <v>26412.0</v>
      </c>
      <c r="F207" s="41">
        <f>round(D207*E207,0)</f>
        <v>18583747</v>
      </c>
    </row>
    <row r="208">
      <c r="A208" s="33" t="s">
        <v>26</v>
      </c>
      <c r="B208" s="31"/>
      <c r="C208" s="32"/>
      <c r="D208" s="39"/>
      <c r="E208" s="46"/>
      <c r="F208" s="41">
        <f>round(F207*10%,0)</f>
        <v>1858375</v>
      </c>
    </row>
    <row r="209">
      <c r="A209" s="33" t="s">
        <v>16</v>
      </c>
      <c r="B209" s="31"/>
      <c r="C209" s="32"/>
      <c r="D209" s="39"/>
      <c r="E209" s="46"/>
      <c r="F209" s="41">
        <f>F207+F208</f>
        <v>20442122</v>
      </c>
    </row>
    <row r="215">
      <c r="A215" s="2" t="s">
        <v>50</v>
      </c>
    </row>
    <row r="216">
      <c r="A216" s="5"/>
      <c r="B216" s="5"/>
      <c r="C216" s="5"/>
      <c r="D216" s="5"/>
      <c r="E216" s="5"/>
      <c r="F216" s="5"/>
    </row>
    <row r="217">
      <c r="A217" s="9" t="s">
        <v>4</v>
      </c>
      <c r="B217" s="9" t="s">
        <v>5</v>
      </c>
      <c r="C217" s="9" t="s">
        <v>6</v>
      </c>
      <c r="D217" s="9" t="s">
        <v>7</v>
      </c>
      <c r="E217" s="9" t="s">
        <v>8</v>
      </c>
      <c r="F217" s="9" t="s">
        <v>9</v>
      </c>
    </row>
    <row r="218">
      <c r="A218" s="13">
        <v>1.0</v>
      </c>
      <c r="B218" s="15" t="s">
        <v>47</v>
      </c>
      <c r="C218" s="19">
        <v>45992.0</v>
      </c>
      <c r="D218" s="22">
        <v>710.72</v>
      </c>
      <c r="E218" s="25"/>
      <c r="F218" s="28"/>
    </row>
    <row r="219">
      <c r="A219" s="30" t="s">
        <v>32</v>
      </c>
      <c r="B219" s="31"/>
      <c r="C219" s="32"/>
      <c r="D219" s="24">
        <f>round(D218*(1+10%),2)</f>
        <v>781.79</v>
      </c>
      <c r="E219" s="38"/>
      <c r="F219" s="28"/>
    </row>
    <row r="220">
      <c r="A220" s="30" t="s">
        <v>24</v>
      </c>
      <c r="B220" s="31"/>
      <c r="C220" s="32"/>
      <c r="D220" s="24">
        <f>round(D219*10%,2)</f>
        <v>78.18</v>
      </c>
      <c r="E220" s="38"/>
      <c r="F220" s="28"/>
    </row>
    <row r="221">
      <c r="A221" s="33" t="s">
        <v>9</v>
      </c>
      <c r="B221" s="31"/>
      <c r="C221" s="32"/>
      <c r="D221" s="39">
        <f>D219-D220</f>
        <v>703.61</v>
      </c>
      <c r="E221" s="46">
        <v>26377.0</v>
      </c>
      <c r="F221" s="41">
        <f>round(D221*E221,0)</f>
        <v>18559121</v>
      </c>
    </row>
    <row r="222">
      <c r="A222" s="33" t="s">
        <v>26</v>
      </c>
      <c r="B222" s="31"/>
      <c r="C222" s="32"/>
      <c r="D222" s="39"/>
      <c r="E222" s="46"/>
      <c r="F222" s="41">
        <f>round(F221*10%,0)</f>
        <v>1855912</v>
      </c>
    </row>
    <row r="223">
      <c r="A223" s="33" t="s">
        <v>16</v>
      </c>
      <c r="B223" s="31"/>
      <c r="C223" s="32"/>
      <c r="D223" s="39"/>
      <c r="E223" s="46"/>
      <c r="F223" s="41">
        <f>F221+F222</f>
        <v>20415033</v>
      </c>
    </row>
    <row r="229">
      <c r="A229" s="2" t="s">
        <v>50</v>
      </c>
    </row>
    <row r="230">
      <c r="A230" s="5"/>
      <c r="B230" s="5"/>
      <c r="C230" s="5"/>
      <c r="D230" s="5"/>
      <c r="E230" s="5"/>
      <c r="F230" s="5"/>
    </row>
    <row r="231">
      <c r="A231" s="9" t="s">
        <v>4</v>
      </c>
      <c r="B231" s="9" t="s">
        <v>5</v>
      </c>
      <c r="C231" s="9" t="s">
        <v>6</v>
      </c>
      <c r="D231" s="9" t="s">
        <v>7</v>
      </c>
      <c r="E231" s="9" t="s">
        <v>8</v>
      </c>
      <c r="F231" s="9" t="s">
        <v>9</v>
      </c>
    </row>
    <row r="232">
      <c r="A232" s="13">
        <v>1.0</v>
      </c>
      <c r="B232" s="15" t="s">
        <v>47</v>
      </c>
      <c r="C232" s="19">
        <v>46023.0</v>
      </c>
      <c r="D232" s="22">
        <v>718.24</v>
      </c>
      <c r="E232" s="25"/>
      <c r="F232" s="28"/>
    </row>
    <row r="233">
      <c r="A233" s="30" t="s">
        <v>32</v>
      </c>
      <c r="B233" s="31"/>
      <c r="C233" s="32"/>
      <c r="D233" s="24">
        <f>round(D232*(1+10%),2)</f>
        <v>790.06</v>
      </c>
      <c r="E233" s="38"/>
      <c r="F233" s="28"/>
    </row>
    <row r="234">
      <c r="A234" s="30" t="s">
        <v>24</v>
      </c>
      <c r="B234" s="31"/>
      <c r="C234" s="32"/>
      <c r="D234" s="24">
        <f>round(D233*10%,2)</f>
        <v>79.01</v>
      </c>
      <c r="E234" s="38"/>
      <c r="F234" s="28"/>
    </row>
    <row r="235">
      <c r="A235" s="33" t="s">
        <v>9</v>
      </c>
      <c r="B235" s="31"/>
      <c r="C235" s="32"/>
      <c r="D235" s="39">
        <f>D233-D234</f>
        <v>711.05</v>
      </c>
      <c r="E235" s="46">
        <v>26145.0</v>
      </c>
      <c r="F235" s="41">
        <f>round(D235*E235,0)</f>
        <v>18590402</v>
      </c>
    </row>
    <row r="236">
      <c r="A236" s="33" t="s">
        <v>26</v>
      </c>
      <c r="B236" s="31"/>
      <c r="C236" s="32"/>
      <c r="D236" s="39"/>
      <c r="E236" s="46"/>
      <c r="F236" s="41">
        <f>round(F235*10%,0)</f>
        <v>1859040</v>
      </c>
    </row>
    <row r="237">
      <c r="A237" s="33" t="s">
        <v>16</v>
      </c>
      <c r="B237" s="31"/>
      <c r="C237" s="32"/>
      <c r="D237" s="39"/>
      <c r="E237" s="46"/>
      <c r="F237" s="41">
        <f>F235+F236</f>
        <v>20449442</v>
      </c>
    </row>
    <row r="243">
      <c r="A243" s="2" t="s">
        <v>50</v>
      </c>
    </row>
    <row r="244">
      <c r="A244" s="5"/>
      <c r="B244" s="5"/>
      <c r="C244" s="5"/>
      <c r="D244" s="5"/>
      <c r="E244" s="5"/>
      <c r="F244" s="5"/>
    </row>
    <row r="245">
      <c r="A245" s="9" t="s">
        <v>4</v>
      </c>
      <c r="B245" s="9" t="s">
        <v>5</v>
      </c>
      <c r="C245" s="9" t="s">
        <v>6</v>
      </c>
      <c r="D245" s="9" t="s">
        <v>7</v>
      </c>
      <c r="E245" s="9" t="s">
        <v>8</v>
      </c>
      <c r="F245" s="9" t="s">
        <v>9</v>
      </c>
    </row>
    <row r="246">
      <c r="A246" s="13">
        <v>1.0</v>
      </c>
      <c r="B246" s="15" t="s">
        <v>47</v>
      </c>
      <c r="C246" s="19">
        <v>46054.0</v>
      </c>
      <c r="D246" s="22">
        <v>389.21</v>
      </c>
      <c r="E246" s="25"/>
      <c r="F246" s="28"/>
    </row>
    <row r="247">
      <c r="A247" s="30" t="s">
        <v>32</v>
      </c>
      <c r="B247" s="31"/>
      <c r="C247" s="32"/>
      <c r="D247" s="24">
        <f>round(D246*(1+10%),2)</f>
        <v>428.13</v>
      </c>
      <c r="E247" s="38"/>
      <c r="F247" s="28"/>
    </row>
    <row r="248">
      <c r="A248" s="30" t="s">
        <v>24</v>
      </c>
      <c r="B248" s="31"/>
      <c r="C248" s="32"/>
      <c r="D248" s="24">
        <f>round(D247*10%,2)</f>
        <v>42.81</v>
      </c>
      <c r="E248" s="38"/>
      <c r="F248" s="28"/>
    </row>
    <row r="249">
      <c r="A249" s="33" t="s">
        <v>9</v>
      </c>
      <c r="B249" s="31"/>
      <c r="C249" s="32"/>
      <c r="D249" s="39">
        <f>D247-D248</f>
        <v>385.32</v>
      </c>
      <c r="E249" s="46">
        <v>26240.0</v>
      </c>
      <c r="F249" s="41">
        <f>round(D249*E249,0)</f>
        <v>10110797</v>
      </c>
    </row>
    <row r="250">
      <c r="A250" s="33" t="s">
        <v>26</v>
      </c>
      <c r="B250" s="31"/>
      <c r="C250" s="32"/>
      <c r="D250" s="39"/>
      <c r="E250" s="46"/>
      <c r="F250" s="41">
        <f>round(F249*10%,0)</f>
        <v>1011080</v>
      </c>
    </row>
    <row r="251">
      <c r="A251" s="33" t="s">
        <v>16</v>
      </c>
      <c r="B251" s="31"/>
      <c r="C251" s="32"/>
      <c r="D251" s="39"/>
      <c r="E251" s="46"/>
      <c r="F251" s="41">
        <f>F249+F250</f>
        <v>11121877</v>
      </c>
    </row>
    <row r="257">
      <c r="A257" s="2" t="s">
        <v>50</v>
      </c>
    </row>
    <row r="258">
      <c r="A258" s="5"/>
      <c r="B258" s="5"/>
      <c r="C258" s="5"/>
      <c r="D258" s="5"/>
      <c r="E258" s="5"/>
      <c r="F258" s="5"/>
    </row>
    <row r="259">
      <c r="A259" s="9" t="s">
        <v>4</v>
      </c>
      <c r="B259" s="9" t="s">
        <v>5</v>
      </c>
      <c r="C259" s="9" t="s">
        <v>6</v>
      </c>
      <c r="D259" s="9" t="s">
        <v>7</v>
      </c>
      <c r="E259" s="9" t="s">
        <v>8</v>
      </c>
      <c r="F259" s="9" t="s">
        <v>9</v>
      </c>
    </row>
    <row r="260">
      <c r="A260" s="13">
        <v>1.0</v>
      </c>
      <c r="B260" s="15" t="s">
        <v>47</v>
      </c>
      <c r="C260" s="19">
        <v>46082.0</v>
      </c>
      <c r="D260" s="22">
        <v>172.1</v>
      </c>
      <c r="E260" s="25"/>
      <c r="F260" s="28"/>
    </row>
    <row r="261">
      <c r="A261" s="30" t="s">
        <v>32</v>
      </c>
      <c r="B261" s="31"/>
      <c r="C261" s="32"/>
      <c r="D261" s="24">
        <f>round(D260*(1+10%),2)</f>
        <v>189.31</v>
      </c>
      <c r="E261" s="38"/>
      <c r="F261" s="28"/>
    </row>
    <row r="262">
      <c r="A262" s="30" t="s">
        <v>24</v>
      </c>
      <c r="B262" s="31"/>
      <c r="C262" s="32"/>
      <c r="D262" s="24">
        <f>round(D261*10%,2)</f>
        <v>18.93</v>
      </c>
      <c r="E262" s="38"/>
      <c r="F262" s="28"/>
    </row>
    <row r="263">
      <c r="A263" s="33" t="s">
        <v>9</v>
      </c>
      <c r="B263" s="31"/>
      <c r="C263" s="32"/>
      <c r="D263" s="39">
        <f>D261-D262</f>
        <v>170.38</v>
      </c>
      <c r="E263" s="46">
        <v>26357.0</v>
      </c>
      <c r="F263" s="41">
        <f>round(D263*E263,0)</f>
        <v>4490706</v>
      </c>
    </row>
    <row r="264">
      <c r="A264" s="33" t="s">
        <v>26</v>
      </c>
      <c r="B264" s="31"/>
      <c r="C264" s="32"/>
      <c r="D264" s="39"/>
      <c r="E264" s="46"/>
      <c r="F264" s="41">
        <f>round(F263*10%,0)</f>
        <v>449071</v>
      </c>
    </row>
    <row r="265">
      <c r="A265" s="33" t="s">
        <v>16</v>
      </c>
      <c r="B265" s="31"/>
      <c r="C265" s="32"/>
      <c r="D265" s="39"/>
      <c r="E265" s="46"/>
      <c r="F265" s="41">
        <f>F263+F264</f>
        <v>4939777</v>
      </c>
    </row>
    <row r="271">
      <c r="A271" s="2" t="s">
        <v>50</v>
      </c>
    </row>
    <row r="272">
      <c r="A272" s="5"/>
      <c r="B272" s="5"/>
      <c r="C272" s="5"/>
      <c r="D272" s="5"/>
      <c r="E272" s="5"/>
      <c r="F272" s="5"/>
    </row>
    <row r="273">
      <c r="A273" s="9" t="s">
        <v>4</v>
      </c>
      <c r="B273" s="9" t="s">
        <v>5</v>
      </c>
      <c r="C273" s="9" t="s">
        <v>6</v>
      </c>
      <c r="D273" s="9" t="s">
        <v>7</v>
      </c>
      <c r="E273" s="9" t="s">
        <v>8</v>
      </c>
      <c r="F273" s="9" t="s">
        <v>9</v>
      </c>
    </row>
    <row r="274">
      <c r="A274" s="13">
        <v>1.0</v>
      </c>
      <c r="B274" s="15" t="s">
        <v>47</v>
      </c>
      <c r="C274" s="19">
        <v>46113.0</v>
      </c>
      <c r="D274" s="22">
        <v>170.58</v>
      </c>
      <c r="E274" s="25"/>
      <c r="F274" s="28"/>
    </row>
    <row r="275">
      <c r="A275" s="30" t="s">
        <v>32</v>
      </c>
      <c r="B275" s="31"/>
      <c r="C275" s="32"/>
      <c r="D275" s="24">
        <f>round(D274*(1+10%),2)</f>
        <v>187.64</v>
      </c>
      <c r="E275" s="38"/>
      <c r="F275" s="28"/>
    </row>
    <row r="276">
      <c r="A276" s="30" t="s">
        <v>24</v>
      </c>
      <c r="B276" s="31"/>
      <c r="C276" s="32"/>
      <c r="D276" s="24">
        <f>round(D275*10%,2)</f>
        <v>18.76</v>
      </c>
      <c r="E276" s="38"/>
      <c r="F276" s="28"/>
    </row>
    <row r="277">
      <c r="A277" s="33" t="s">
        <v>9</v>
      </c>
      <c r="B277" s="31"/>
      <c r="C277" s="32"/>
      <c r="D277" s="39">
        <f>D275-D276</f>
        <v>168.88</v>
      </c>
      <c r="E277" s="46">
        <v>26368.0</v>
      </c>
      <c r="F277" s="41">
        <f>round(D277*E277,0)</f>
        <v>4453028</v>
      </c>
    </row>
    <row r="278">
      <c r="A278" s="33" t="s">
        <v>26</v>
      </c>
      <c r="B278" s="31"/>
      <c r="C278" s="32"/>
      <c r="D278" s="39"/>
      <c r="E278" s="46"/>
      <c r="F278" s="41">
        <f>round(F277*10%,0)</f>
        <v>445303</v>
      </c>
    </row>
    <row r="279">
      <c r="A279" s="33" t="s">
        <v>16</v>
      </c>
      <c r="B279" s="31"/>
      <c r="C279" s="32"/>
      <c r="D279" s="39"/>
      <c r="E279" s="46"/>
      <c r="F279" s="41">
        <f>F277+F278</f>
        <v>4898331</v>
      </c>
    </row>
    <row r="286">
      <c r="A286" s="2" t="s">
        <v>50</v>
      </c>
    </row>
    <row r="287">
      <c r="A287" s="5"/>
      <c r="B287" s="5"/>
      <c r="C287" s="5"/>
      <c r="D287" s="5"/>
      <c r="E287" s="5"/>
      <c r="F287" s="5"/>
    </row>
    <row r="288">
      <c r="A288" s="9" t="s">
        <v>4</v>
      </c>
      <c r="B288" s="9" t="s">
        <v>5</v>
      </c>
      <c r="C288" s="9" t="s">
        <v>6</v>
      </c>
      <c r="D288" s="9" t="s">
        <v>7</v>
      </c>
      <c r="E288" s="9" t="s">
        <v>8</v>
      </c>
      <c r="F288" s="9" t="s">
        <v>9</v>
      </c>
    </row>
    <row r="289">
      <c r="A289" s="13">
        <v>1.0</v>
      </c>
      <c r="B289" s="15" t="s">
        <v>47</v>
      </c>
      <c r="C289" s="19">
        <v>46143.0</v>
      </c>
      <c r="D289" s="22">
        <v>129.08</v>
      </c>
      <c r="E289" s="25"/>
      <c r="F289" s="28"/>
    </row>
    <row r="290">
      <c r="A290" s="30" t="s">
        <v>32</v>
      </c>
      <c r="B290" s="31"/>
      <c r="C290" s="32"/>
      <c r="D290" s="24">
        <f>round(D289*(1+10%),2)</f>
        <v>141.99</v>
      </c>
      <c r="E290" s="38"/>
      <c r="F290" s="28"/>
    </row>
    <row r="291">
      <c r="A291" s="30" t="s">
        <v>24</v>
      </c>
      <c r="B291" s="31"/>
      <c r="C291" s="32"/>
      <c r="D291" s="24">
        <f>round(D290*10%,2)</f>
        <v>14.2</v>
      </c>
      <c r="E291" s="38"/>
      <c r="F291" s="28"/>
    </row>
    <row r="292">
      <c r="A292" s="33" t="s">
        <v>9</v>
      </c>
      <c r="B292" s="31"/>
      <c r="C292" s="32"/>
      <c r="D292" s="39">
        <f>D290-D291</f>
        <v>127.79</v>
      </c>
      <c r="E292" s="46">
        <v>26395.0</v>
      </c>
      <c r="F292" s="41">
        <f>round(D292*E292,0)</f>
        <v>3373017</v>
      </c>
    </row>
    <row r="293">
      <c r="A293" s="33" t="s">
        <v>26</v>
      </c>
      <c r="B293" s="31"/>
      <c r="C293" s="32"/>
      <c r="D293" s="39"/>
      <c r="E293" s="46"/>
      <c r="F293" s="41">
        <f>round(F292*10%,0)</f>
        <v>337302</v>
      </c>
    </row>
    <row r="294">
      <c r="A294" s="33" t="s">
        <v>16</v>
      </c>
      <c r="B294" s="31"/>
      <c r="C294" s="32"/>
      <c r="D294" s="39"/>
      <c r="E294" s="46"/>
      <c r="F294" s="41">
        <f>F292+F293</f>
        <v>3710319</v>
      </c>
    </row>
    <row r="299">
      <c r="A299" s="2" t="s">
        <v>50</v>
      </c>
    </row>
    <row r="300">
      <c r="A300" s="5"/>
      <c r="B300" s="5"/>
      <c r="C300" s="5"/>
      <c r="D300" s="5"/>
      <c r="E300" s="5"/>
      <c r="F300" s="5"/>
    </row>
    <row r="301">
      <c r="A301" s="9" t="s">
        <v>4</v>
      </c>
      <c r="B301" s="9" t="s">
        <v>5</v>
      </c>
      <c r="C301" s="9" t="s">
        <v>6</v>
      </c>
      <c r="D301" s="9" t="s">
        <v>7</v>
      </c>
      <c r="E301" s="9" t="s">
        <v>8</v>
      </c>
      <c r="F301" s="9" t="s">
        <v>9</v>
      </c>
    </row>
    <row r="302">
      <c r="A302" s="13">
        <v>1.0</v>
      </c>
      <c r="B302" s="15" t="s">
        <v>47</v>
      </c>
      <c r="C302" s="19">
        <v>46174.0</v>
      </c>
      <c r="D302" s="22">
        <v>129.08</v>
      </c>
      <c r="E302" s="25"/>
      <c r="F302" s="28"/>
    </row>
    <row r="303">
      <c r="A303" s="30" t="s">
        <v>32</v>
      </c>
      <c r="B303" s="31"/>
      <c r="C303" s="32"/>
      <c r="D303" s="24">
        <f>round(D302*(1+10%),2)</f>
        <v>141.99</v>
      </c>
      <c r="E303" s="38"/>
      <c r="F303" s="28"/>
    </row>
    <row r="304">
      <c r="A304" s="30" t="s">
        <v>24</v>
      </c>
      <c r="B304" s="31"/>
      <c r="C304" s="32"/>
      <c r="D304" s="24">
        <f>round(D303*10%,2)</f>
        <v>14.2</v>
      </c>
      <c r="E304" s="38"/>
      <c r="F304" s="28"/>
    </row>
    <row r="305">
      <c r="A305" s="33" t="s">
        <v>9</v>
      </c>
      <c r="B305" s="31"/>
      <c r="C305" s="32"/>
      <c r="D305" s="39">
        <f>D303-D304</f>
        <v>127.79</v>
      </c>
      <c r="E305" s="46">
        <v>26466.0</v>
      </c>
      <c r="F305" s="41">
        <f>round(D305*E305,0)</f>
        <v>3382090</v>
      </c>
    </row>
    <row r="306">
      <c r="A306" s="33" t="s">
        <v>26</v>
      </c>
      <c r="B306" s="31"/>
      <c r="C306" s="32"/>
      <c r="D306" s="39"/>
      <c r="E306" s="46"/>
      <c r="F306" s="41">
        <f>round(F305*10%,0)</f>
        <v>338209</v>
      </c>
    </row>
    <row r="307">
      <c r="A307" s="33" t="s">
        <v>16</v>
      </c>
      <c r="B307" s="31"/>
      <c r="C307" s="32"/>
      <c r="D307" s="39"/>
      <c r="E307" s="46"/>
      <c r="F307" s="41">
        <f>F305+F306</f>
        <v>3720299</v>
      </c>
    </row>
    <row r="313">
      <c r="A313" s="2" t="s">
        <v>50</v>
      </c>
    </row>
    <row r="314">
      <c r="A314" s="5"/>
      <c r="B314" s="5"/>
      <c r="C314" s="5"/>
      <c r="D314" s="5"/>
      <c r="E314" s="5"/>
      <c r="F314" s="5"/>
    </row>
    <row r="315">
      <c r="A315" s="9" t="s">
        <v>4</v>
      </c>
      <c r="B315" s="9" t="s">
        <v>5</v>
      </c>
      <c r="C315" s="9" t="s">
        <v>6</v>
      </c>
      <c r="D315" s="9" t="s">
        <v>7</v>
      </c>
      <c r="E315" s="9" t="s">
        <v>8</v>
      </c>
      <c r="F315" s="9" t="s">
        <v>9</v>
      </c>
    </row>
    <row r="316">
      <c r="A316" s="13">
        <v>1.0</v>
      </c>
      <c r="B316" s="15" t="s">
        <v>47</v>
      </c>
      <c r="C316" s="19">
        <v>46204.0</v>
      </c>
      <c r="D316" s="22">
        <v>129.08</v>
      </c>
      <c r="E316" s="25"/>
      <c r="F316" s="28"/>
    </row>
    <row r="317">
      <c r="A317" s="30" t="s">
        <v>32</v>
      </c>
      <c r="B317" s="31"/>
      <c r="C317" s="32"/>
      <c r="D317" s="24">
        <f>round(D316*(1+10%),2)</f>
        <v>141.99</v>
      </c>
      <c r="E317" s="38"/>
      <c r="F317" s="28"/>
    </row>
    <row r="318">
      <c r="A318" s="30" t="s">
        <v>24</v>
      </c>
      <c r="B318" s="31"/>
      <c r="C318" s="32"/>
      <c r="D318" s="24">
        <f>round(D317*10%,2)</f>
        <v>14.2</v>
      </c>
      <c r="E318" s="38"/>
      <c r="F318" s="28"/>
    </row>
    <row r="319">
      <c r="A319" s="33" t="s">
        <v>9</v>
      </c>
      <c r="B319" s="31"/>
      <c r="C319" s="32"/>
      <c r="D319" s="39">
        <f>D317-D318</f>
        <v>127.79</v>
      </c>
      <c r="E319" s="46">
        <v>26475.0</v>
      </c>
      <c r="F319" s="41">
        <f>round(D319*E319,0)</f>
        <v>3383240</v>
      </c>
    </row>
    <row r="320">
      <c r="A320" s="33" t="s">
        <v>26</v>
      </c>
      <c r="B320" s="31"/>
      <c r="C320" s="32"/>
      <c r="D320" s="39"/>
      <c r="E320" s="46"/>
      <c r="F320" s="41">
        <f>round(F319*10%,0)</f>
        <v>338324</v>
      </c>
    </row>
    <row r="321">
      <c r="A321" s="33" t="s">
        <v>16</v>
      </c>
      <c r="B321" s="31"/>
      <c r="C321" s="32"/>
      <c r="D321" s="39"/>
      <c r="E321" s="46"/>
      <c r="F321" s="41">
        <f>F319+F320</f>
        <v>3721564</v>
      </c>
    </row>
  </sheetData>
  <mergeCells count="150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8:F38"/>
    <mergeCell ref="A42:C42"/>
    <mergeCell ref="A43:C43"/>
    <mergeCell ref="A44:C44"/>
    <mergeCell ref="A45:C45"/>
    <mergeCell ref="A46:C46"/>
    <mergeCell ref="A50:F50"/>
    <mergeCell ref="A54:C54"/>
    <mergeCell ref="A55:C55"/>
    <mergeCell ref="A56:C56"/>
    <mergeCell ref="A57:C57"/>
    <mergeCell ref="A58:C58"/>
    <mergeCell ref="A62:F62"/>
    <mergeCell ref="A66:C66"/>
    <mergeCell ref="A67:C67"/>
    <mergeCell ref="A68:C68"/>
    <mergeCell ref="A69:C69"/>
    <mergeCell ref="A70:C70"/>
    <mergeCell ref="A74:F74"/>
    <mergeCell ref="A78:C78"/>
    <mergeCell ref="A79:C79"/>
    <mergeCell ref="A80:C80"/>
    <mergeCell ref="A81:C81"/>
    <mergeCell ref="A82:C82"/>
    <mergeCell ref="A86:F86"/>
    <mergeCell ref="A90:C90"/>
    <mergeCell ref="A91:C91"/>
    <mergeCell ref="A92:C92"/>
    <mergeCell ref="A93:C93"/>
    <mergeCell ref="A94:C94"/>
    <mergeCell ref="A98:F98"/>
    <mergeCell ref="A191:C191"/>
    <mergeCell ref="A192:C192"/>
    <mergeCell ref="A193:C193"/>
    <mergeCell ref="A194:C194"/>
    <mergeCell ref="A195:C195"/>
    <mergeCell ref="A201:F201"/>
    <mergeCell ref="A205:C205"/>
    <mergeCell ref="A206:C206"/>
    <mergeCell ref="A207:C207"/>
    <mergeCell ref="A208:C208"/>
    <mergeCell ref="A209:C209"/>
    <mergeCell ref="A215:F215"/>
    <mergeCell ref="A219:C219"/>
    <mergeCell ref="A220:C220"/>
    <mergeCell ref="A236:C236"/>
    <mergeCell ref="A237:C237"/>
    <mergeCell ref="A243:F243"/>
    <mergeCell ref="A247:C247"/>
    <mergeCell ref="A248:C248"/>
    <mergeCell ref="A249:C249"/>
    <mergeCell ref="A250:C250"/>
    <mergeCell ref="A251:C251"/>
    <mergeCell ref="A257:F257"/>
    <mergeCell ref="A261:C261"/>
    <mergeCell ref="A262:C262"/>
    <mergeCell ref="A263:C263"/>
    <mergeCell ref="A264:C264"/>
    <mergeCell ref="A265:C265"/>
    <mergeCell ref="A271:F271"/>
    <mergeCell ref="A275:C275"/>
    <mergeCell ref="A276:C276"/>
    <mergeCell ref="A277:C277"/>
    <mergeCell ref="A278:C278"/>
    <mergeCell ref="A279:C279"/>
    <mergeCell ref="A286:F286"/>
    <mergeCell ref="A290:C290"/>
    <mergeCell ref="A291:C291"/>
    <mergeCell ref="A292:C292"/>
    <mergeCell ref="A293:C293"/>
    <mergeCell ref="A294:C294"/>
    <mergeCell ref="A299:F299"/>
    <mergeCell ref="A303:C303"/>
    <mergeCell ref="A319:C319"/>
    <mergeCell ref="A320:C320"/>
    <mergeCell ref="A321:C321"/>
    <mergeCell ref="A304:C304"/>
    <mergeCell ref="A305:C305"/>
    <mergeCell ref="A306:C306"/>
    <mergeCell ref="A307:C307"/>
    <mergeCell ref="A313:F313"/>
    <mergeCell ref="A317:C317"/>
    <mergeCell ref="A318:C318"/>
    <mergeCell ref="A102:C102"/>
    <mergeCell ref="A103:C103"/>
    <mergeCell ref="A104:C104"/>
    <mergeCell ref="A105:C105"/>
    <mergeCell ref="A106:C106"/>
    <mergeCell ref="A110:F110"/>
    <mergeCell ref="A114:C114"/>
    <mergeCell ref="A115:C115"/>
    <mergeCell ref="A116:C116"/>
    <mergeCell ref="A117:C117"/>
    <mergeCell ref="A118:C118"/>
    <mergeCell ref="A122:F122"/>
    <mergeCell ref="A126:C126"/>
    <mergeCell ref="A127:C127"/>
    <mergeCell ref="A128:C128"/>
    <mergeCell ref="A129:C129"/>
    <mergeCell ref="A130:C130"/>
    <mergeCell ref="A134:F134"/>
    <mergeCell ref="A138:C138"/>
    <mergeCell ref="A139:C139"/>
    <mergeCell ref="A140:C140"/>
    <mergeCell ref="A141:C141"/>
    <mergeCell ref="A142:C142"/>
    <mergeCell ref="A146:F146"/>
    <mergeCell ref="A150:C150"/>
    <mergeCell ref="A151:C151"/>
    <mergeCell ref="A152:C152"/>
    <mergeCell ref="A153:C153"/>
    <mergeCell ref="A154:C154"/>
    <mergeCell ref="A159:F159"/>
    <mergeCell ref="A163:C163"/>
    <mergeCell ref="A164:C164"/>
    <mergeCell ref="A165:C165"/>
    <mergeCell ref="A166:C166"/>
    <mergeCell ref="A167:C167"/>
    <mergeCell ref="A173:F173"/>
    <mergeCell ref="A177:C177"/>
    <mergeCell ref="A178:C178"/>
    <mergeCell ref="A179:C179"/>
    <mergeCell ref="A180:C180"/>
    <mergeCell ref="A181:C181"/>
    <mergeCell ref="A187:F187"/>
    <mergeCell ref="A221:C221"/>
    <mergeCell ref="A222:C222"/>
    <mergeCell ref="A223:C223"/>
    <mergeCell ref="A229:F229"/>
    <mergeCell ref="A233:C233"/>
    <mergeCell ref="A234:C234"/>
    <mergeCell ref="A235:C23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25"/>
    <col customWidth="1" min="2" max="2" width="56.88"/>
    <col customWidth="1" min="3" max="3" width="10.75"/>
    <col customWidth="1" min="4" max="4" width="21.0"/>
    <col customWidth="1" min="5" max="5" width="10.88"/>
    <col customWidth="1" min="6" max="6" width="17.75"/>
  </cols>
  <sheetData>
    <row r="1">
      <c r="A1" s="2" t="s">
        <v>48</v>
      </c>
    </row>
    <row r="2">
      <c r="A2" s="5"/>
      <c r="B2" s="5"/>
      <c r="C2" s="5"/>
      <c r="D2" s="5"/>
      <c r="E2" s="5"/>
      <c r="F2" s="5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15" t="s">
        <v>49</v>
      </c>
      <c r="C4" s="19">
        <v>45474.0</v>
      </c>
      <c r="D4" s="22">
        <v>1517.9</v>
      </c>
      <c r="E4" s="25"/>
      <c r="F4" s="28"/>
    </row>
    <row r="5">
      <c r="A5" s="30" t="s">
        <v>21</v>
      </c>
      <c r="B5" s="31"/>
      <c r="C5" s="32"/>
      <c r="D5" s="24">
        <f>round(D4*(1+5.26%),2)</f>
        <v>1597.74</v>
      </c>
      <c r="E5" s="38"/>
      <c r="F5" s="28"/>
    </row>
    <row r="6">
      <c r="A6" s="30" t="s">
        <v>24</v>
      </c>
      <c r="B6" s="31"/>
      <c r="C6" s="32"/>
      <c r="D6" s="24">
        <f>round(D5*10%,2)</f>
        <v>159.77</v>
      </c>
      <c r="E6" s="38"/>
      <c r="F6" s="28"/>
    </row>
    <row r="7">
      <c r="A7" s="33" t="s">
        <v>9</v>
      </c>
      <c r="B7" s="31"/>
      <c r="C7" s="32"/>
      <c r="D7" s="39">
        <f>D5-D6</f>
        <v>1437.97</v>
      </c>
      <c r="E7" s="46">
        <v>25405.0</v>
      </c>
      <c r="F7" s="41">
        <f>D7*E7</f>
        <v>36531627.85</v>
      </c>
    </row>
    <row r="8">
      <c r="A8" s="33" t="s">
        <v>26</v>
      </c>
      <c r="B8" s="31"/>
      <c r="C8" s="32"/>
      <c r="D8" s="39"/>
      <c r="E8" s="46"/>
      <c r="F8" s="41">
        <f>round(F7*10%,0)</f>
        <v>3653163</v>
      </c>
    </row>
    <row r="9">
      <c r="A9" s="33" t="s">
        <v>16</v>
      </c>
      <c r="B9" s="31"/>
      <c r="C9" s="32"/>
      <c r="D9" s="39"/>
      <c r="E9" s="46"/>
      <c r="F9" s="41">
        <f>F7+F8</f>
        <v>40184790.85</v>
      </c>
    </row>
    <row r="13">
      <c r="A13" s="2" t="s">
        <v>48</v>
      </c>
    </row>
    <row r="14">
      <c r="A14" s="5"/>
      <c r="B14" s="5"/>
      <c r="C14" s="5"/>
      <c r="D14" s="5"/>
      <c r="E14" s="5"/>
      <c r="F14" s="5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>
      <c r="A16" s="13">
        <v>1.0</v>
      </c>
      <c r="B16" s="15" t="s">
        <v>49</v>
      </c>
      <c r="C16" s="19">
        <v>45505.0</v>
      </c>
      <c r="D16" s="22">
        <v>1540.62</v>
      </c>
      <c r="E16" s="25"/>
      <c r="F16" s="28"/>
    </row>
    <row r="17">
      <c r="A17" s="30" t="s">
        <v>21</v>
      </c>
      <c r="B17" s="31"/>
      <c r="C17" s="32"/>
      <c r="D17" s="24">
        <f>round(D16*(1+5.26%),2)</f>
        <v>1621.66</v>
      </c>
      <c r="E17" s="38"/>
      <c r="F17" s="28"/>
    </row>
    <row r="18">
      <c r="A18" s="30" t="s">
        <v>24</v>
      </c>
      <c r="B18" s="31"/>
      <c r="C18" s="32"/>
      <c r="D18" s="24">
        <f>round(D17*10%,2)</f>
        <v>162.17</v>
      </c>
      <c r="E18" s="38"/>
      <c r="F18" s="28"/>
    </row>
    <row r="19">
      <c r="A19" s="33" t="s">
        <v>9</v>
      </c>
      <c r="B19" s="31"/>
      <c r="C19" s="32"/>
      <c r="D19" s="39">
        <f>D17-D18</f>
        <v>1459.49</v>
      </c>
      <c r="E19" s="46">
        <v>25080.0</v>
      </c>
      <c r="F19" s="41">
        <f>D19*E19</f>
        <v>36604009.2</v>
      </c>
    </row>
    <row r="20">
      <c r="A20" s="33" t="s">
        <v>26</v>
      </c>
      <c r="B20" s="31"/>
      <c r="C20" s="32"/>
      <c r="D20" s="39"/>
      <c r="E20" s="46"/>
      <c r="F20" s="41">
        <f>round(F19*10%,0)</f>
        <v>3660401</v>
      </c>
    </row>
    <row r="21">
      <c r="A21" s="33" t="s">
        <v>16</v>
      </c>
      <c r="B21" s="31"/>
      <c r="C21" s="32"/>
      <c r="D21" s="39"/>
      <c r="E21" s="46"/>
      <c r="F21" s="41">
        <f>F19+F20</f>
        <v>40264410.2</v>
      </c>
    </row>
    <row r="25">
      <c r="A25" s="2" t="s">
        <v>48</v>
      </c>
    </row>
    <row r="26">
      <c r="A26" s="5"/>
      <c r="B26" s="5"/>
      <c r="C26" s="5"/>
      <c r="D26" s="5"/>
      <c r="E26" s="5"/>
      <c r="F26" s="5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</row>
    <row r="28">
      <c r="A28" s="13">
        <v>1.0</v>
      </c>
      <c r="B28" s="15" t="s">
        <v>49</v>
      </c>
      <c r="C28" s="19">
        <v>45536.0</v>
      </c>
      <c r="D28" s="22">
        <v>1561.44</v>
      </c>
      <c r="E28" s="25"/>
      <c r="F28" s="28"/>
    </row>
    <row r="29">
      <c r="A29" s="30" t="s">
        <v>21</v>
      </c>
      <c r="B29" s="31"/>
      <c r="C29" s="32"/>
      <c r="D29" s="24">
        <f>round(D28*(1+5.26%),2)</f>
        <v>1643.57</v>
      </c>
      <c r="E29" s="38"/>
      <c r="F29" s="28"/>
    </row>
    <row r="30">
      <c r="A30" s="30" t="s">
        <v>24</v>
      </c>
      <c r="B30" s="31"/>
      <c r="C30" s="32"/>
      <c r="D30" s="24">
        <f>round(D29*10%,2)</f>
        <v>164.36</v>
      </c>
      <c r="E30" s="38"/>
      <c r="F30" s="28"/>
    </row>
    <row r="31">
      <c r="A31" s="33" t="s">
        <v>9</v>
      </c>
      <c r="B31" s="31"/>
      <c r="C31" s="32"/>
      <c r="D31" s="39">
        <f>D29-D30</f>
        <v>1479.21</v>
      </c>
      <c r="E31" s="46">
        <v>24733.0</v>
      </c>
      <c r="F31" s="41">
        <f>D31*E31</f>
        <v>36585300.93</v>
      </c>
    </row>
    <row r="32">
      <c r="A32" s="33" t="s">
        <v>26</v>
      </c>
      <c r="B32" s="31"/>
      <c r="C32" s="32"/>
      <c r="D32" s="39"/>
      <c r="E32" s="46"/>
      <c r="F32" s="41">
        <f>round(F31*10%,0)</f>
        <v>3658530</v>
      </c>
    </row>
    <row r="33">
      <c r="A33" s="33" t="s">
        <v>16</v>
      </c>
      <c r="B33" s="31"/>
      <c r="C33" s="32"/>
      <c r="D33" s="39"/>
      <c r="E33" s="46"/>
      <c r="F33" s="41">
        <f>F31+F32</f>
        <v>40243830.93</v>
      </c>
    </row>
    <row r="37">
      <c r="A37" s="2" t="s">
        <v>48</v>
      </c>
    </row>
    <row r="38">
      <c r="A38" s="5"/>
      <c r="B38" s="5"/>
      <c r="C38" s="5"/>
      <c r="D38" s="5"/>
      <c r="E38" s="5"/>
      <c r="F38" s="5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</row>
    <row r="40">
      <c r="A40" s="13">
        <v>1.0</v>
      </c>
      <c r="B40" s="15" t="s">
        <v>49</v>
      </c>
      <c r="C40" s="19">
        <v>45566.0</v>
      </c>
      <c r="D40" s="22">
        <v>1584.98</v>
      </c>
      <c r="E40" s="25"/>
      <c r="F40" s="28"/>
    </row>
    <row r="41">
      <c r="A41" s="30" t="s">
        <v>21</v>
      </c>
      <c r="B41" s="31"/>
      <c r="C41" s="32"/>
      <c r="D41" s="24">
        <f>round(D40*(1+5.26%),2)</f>
        <v>1668.35</v>
      </c>
      <c r="E41" s="38"/>
      <c r="F41" s="28"/>
    </row>
    <row r="42">
      <c r="A42" s="30" t="s">
        <v>24</v>
      </c>
      <c r="B42" s="31"/>
      <c r="C42" s="32"/>
      <c r="D42" s="24">
        <f>round(D41*10%,2)</f>
        <v>166.84</v>
      </c>
      <c r="E42" s="38"/>
      <c r="F42" s="28"/>
    </row>
    <row r="43">
      <c r="A43" s="33" t="s">
        <v>9</v>
      </c>
      <c r="B43" s="31"/>
      <c r="C43" s="32"/>
      <c r="D43" s="39">
        <f>D41-D42</f>
        <v>1501.51</v>
      </c>
      <c r="E43" s="46">
        <v>25445.0</v>
      </c>
      <c r="F43" s="41">
        <f>D43*E43</f>
        <v>38205921.95</v>
      </c>
    </row>
    <row r="44">
      <c r="A44" s="33" t="s">
        <v>26</v>
      </c>
      <c r="B44" s="31"/>
      <c r="C44" s="32"/>
      <c r="D44" s="39"/>
      <c r="E44" s="46"/>
      <c r="F44" s="41">
        <f>round(F43*10%,0)</f>
        <v>3820592</v>
      </c>
    </row>
    <row r="45">
      <c r="A45" s="33" t="s">
        <v>16</v>
      </c>
      <c r="B45" s="31"/>
      <c r="C45" s="32"/>
      <c r="D45" s="39"/>
      <c r="E45" s="46"/>
      <c r="F45" s="41">
        <f>F43+F44</f>
        <v>42026513.95</v>
      </c>
    </row>
    <row r="49">
      <c r="A49" s="2" t="s">
        <v>48</v>
      </c>
    </row>
    <row r="50">
      <c r="A50" s="5"/>
      <c r="B50" s="5"/>
      <c r="C50" s="5"/>
      <c r="D50" s="5"/>
      <c r="E50" s="5"/>
      <c r="F50" s="5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</row>
    <row r="52">
      <c r="A52" s="13">
        <v>1.0</v>
      </c>
      <c r="B52" s="15" t="s">
        <v>49</v>
      </c>
      <c r="C52" s="19">
        <v>45597.0</v>
      </c>
      <c r="D52" s="22">
        <v>1608.54</v>
      </c>
      <c r="E52" s="25"/>
      <c r="F52" s="28"/>
    </row>
    <row r="53">
      <c r="A53" s="30" t="s">
        <v>21</v>
      </c>
      <c r="B53" s="31"/>
      <c r="C53" s="32"/>
      <c r="D53" s="24">
        <f>round(D52*(1+5.26%),2)</f>
        <v>1693.15</v>
      </c>
      <c r="E53" s="38"/>
      <c r="F53" s="28"/>
    </row>
    <row r="54">
      <c r="A54" s="30" t="s">
        <v>24</v>
      </c>
      <c r="B54" s="31"/>
      <c r="C54" s="32"/>
      <c r="D54" s="24">
        <f>round(D53*10%,2)</f>
        <v>169.32</v>
      </c>
      <c r="E54" s="38"/>
      <c r="F54" s="28"/>
    </row>
    <row r="55">
      <c r="A55" s="33" t="s">
        <v>9</v>
      </c>
      <c r="B55" s="31"/>
      <c r="C55" s="32"/>
      <c r="D55" s="39">
        <f>D53-D54</f>
        <v>1523.83</v>
      </c>
      <c r="E55" s="46">
        <v>25463.0</v>
      </c>
      <c r="F55" s="41">
        <f>D55*E55</f>
        <v>38801283.29</v>
      </c>
    </row>
    <row r="56">
      <c r="A56" s="33" t="s">
        <v>26</v>
      </c>
      <c r="B56" s="31"/>
      <c r="C56" s="32"/>
      <c r="D56" s="39"/>
      <c r="E56" s="46"/>
      <c r="F56" s="41">
        <f>round(F55*10%,0)</f>
        <v>3880128</v>
      </c>
    </row>
    <row r="57">
      <c r="A57" s="33" t="s">
        <v>16</v>
      </c>
      <c r="B57" s="31"/>
      <c r="C57" s="32"/>
      <c r="D57" s="39"/>
      <c r="E57" s="46"/>
      <c r="F57" s="41">
        <f>F55+F56</f>
        <v>42681411.29</v>
      </c>
    </row>
    <row r="61">
      <c r="A61" s="2" t="s">
        <v>51</v>
      </c>
    </row>
    <row r="62">
      <c r="A62" s="5"/>
      <c r="B62" s="5"/>
      <c r="C62" s="5"/>
      <c r="D62" s="5"/>
      <c r="E62" s="5"/>
      <c r="F62" s="5"/>
    </row>
    <row r="63">
      <c r="A63" s="9" t="s">
        <v>4</v>
      </c>
      <c r="B63" s="9" t="s">
        <v>5</v>
      </c>
      <c r="C63" s="9" t="s">
        <v>6</v>
      </c>
      <c r="D63" s="9" t="s">
        <v>7</v>
      </c>
      <c r="E63" s="9" t="s">
        <v>8</v>
      </c>
      <c r="F63" s="9" t="s">
        <v>9</v>
      </c>
    </row>
    <row r="64">
      <c r="A64" s="13">
        <v>1.0</v>
      </c>
      <c r="B64" s="15" t="s">
        <v>49</v>
      </c>
      <c r="C64" s="19">
        <v>45627.0</v>
      </c>
      <c r="D64" s="22">
        <v>1635.02</v>
      </c>
      <c r="E64" s="25"/>
      <c r="F64" s="28"/>
    </row>
    <row r="65">
      <c r="A65" s="30" t="s">
        <v>21</v>
      </c>
      <c r="B65" s="31"/>
      <c r="C65" s="32"/>
      <c r="D65" s="24">
        <f>round(D64*(1+5.26%),2)</f>
        <v>1721.02</v>
      </c>
      <c r="E65" s="38"/>
      <c r="F65" s="28"/>
    </row>
    <row r="66">
      <c r="A66" s="30" t="s">
        <v>24</v>
      </c>
      <c r="B66" s="31"/>
      <c r="C66" s="32"/>
      <c r="D66" s="24">
        <f>round(D65*10%,2)</f>
        <v>172.1</v>
      </c>
      <c r="E66" s="38"/>
      <c r="F66" s="28"/>
    </row>
    <row r="67">
      <c r="A67" s="33" t="s">
        <v>9</v>
      </c>
      <c r="B67" s="31"/>
      <c r="C67" s="32"/>
      <c r="D67" s="39">
        <f>D65-D66</f>
        <v>1548.92</v>
      </c>
      <c r="E67" s="46">
        <v>25551.0</v>
      </c>
      <c r="F67" s="41">
        <f>round(D67*E67,0)</f>
        <v>39576455</v>
      </c>
    </row>
    <row r="68">
      <c r="A68" s="33" t="s">
        <v>26</v>
      </c>
      <c r="B68" s="31"/>
      <c r="C68" s="32"/>
      <c r="D68" s="39"/>
      <c r="E68" s="46"/>
      <c r="F68" s="41">
        <f>round(F67*10%,0)</f>
        <v>3957646</v>
      </c>
    </row>
    <row r="69">
      <c r="A69" s="33" t="s">
        <v>16</v>
      </c>
      <c r="B69" s="31"/>
      <c r="C69" s="32"/>
      <c r="D69" s="39"/>
      <c r="E69" s="46"/>
      <c r="F69" s="41">
        <f>F67+F68</f>
        <v>43534101</v>
      </c>
    </row>
    <row r="73">
      <c r="A73" s="2" t="s">
        <v>51</v>
      </c>
    </row>
    <row r="74">
      <c r="A74" s="5"/>
      <c r="B74" s="5"/>
      <c r="C74" s="5"/>
      <c r="D74" s="5"/>
      <c r="E74" s="5"/>
      <c r="F74" s="5"/>
    </row>
    <row r="75">
      <c r="A75" s="9" t="s">
        <v>4</v>
      </c>
      <c r="B75" s="9" t="s">
        <v>5</v>
      </c>
      <c r="C75" s="9" t="s">
        <v>6</v>
      </c>
      <c r="D75" s="9" t="s">
        <v>7</v>
      </c>
      <c r="E75" s="9" t="s">
        <v>8</v>
      </c>
      <c r="F75" s="9" t="s">
        <v>9</v>
      </c>
    </row>
    <row r="76">
      <c r="A76" s="13">
        <v>1.0</v>
      </c>
      <c r="B76" s="15" t="s">
        <v>49</v>
      </c>
      <c r="C76" s="19">
        <v>45658.0</v>
      </c>
      <c r="D76" s="22">
        <v>1667.69</v>
      </c>
      <c r="E76" s="25"/>
      <c r="F76" s="28"/>
    </row>
    <row r="77">
      <c r="A77" s="30" t="s">
        <v>21</v>
      </c>
      <c r="B77" s="31"/>
      <c r="C77" s="32"/>
      <c r="D77" s="24">
        <f>round(D76*(1+5.26%),2)</f>
        <v>1755.41</v>
      </c>
      <c r="E77" s="38"/>
      <c r="F77" s="28"/>
    </row>
    <row r="78">
      <c r="A78" s="30" t="s">
        <v>24</v>
      </c>
      <c r="B78" s="31"/>
      <c r="C78" s="32"/>
      <c r="D78" s="24">
        <f>round(D77*10%,2)</f>
        <v>175.54</v>
      </c>
      <c r="E78" s="38"/>
      <c r="F78" s="28"/>
    </row>
    <row r="79">
      <c r="A79" s="33" t="s">
        <v>9</v>
      </c>
      <c r="B79" s="31"/>
      <c r="C79" s="32"/>
      <c r="D79" s="39">
        <f>D77-D78</f>
        <v>1579.87</v>
      </c>
      <c r="E79" s="46">
        <v>25295.0</v>
      </c>
      <c r="F79" s="41">
        <f>round(D79*E79,0)</f>
        <v>39962812</v>
      </c>
    </row>
    <row r="80">
      <c r="A80" s="33" t="s">
        <v>26</v>
      </c>
      <c r="B80" s="31"/>
      <c r="C80" s="32"/>
      <c r="D80" s="39"/>
      <c r="E80" s="46"/>
      <c r="F80" s="41">
        <f>round(F79*10%,0)</f>
        <v>3996281</v>
      </c>
    </row>
    <row r="81">
      <c r="A81" s="33" t="s">
        <v>16</v>
      </c>
      <c r="B81" s="31"/>
      <c r="C81" s="32"/>
      <c r="D81" s="39"/>
      <c r="E81" s="46"/>
      <c r="F81" s="41">
        <f>F79+F80</f>
        <v>43959093</v>
      </c>
    </row>
    <row r="85">
      <c r="A85" s="2" t="s">
        <v>51</v>
      </c>
    </row>
    <row r="86">
      <c r="A86" s="5"/>
      <c r="B86" s="5"/>
      <c r="C86" s="5"/>
      <c r="D86" s="5"/>
      <c r="E86" s="5"/>
      <c r="F86" s="5"/>
    </row>
    <row r="87">
      <c r="A87" s="9" t="s">
        <v>4</v>
      </c>
      <c r="B87" s="9" t="s">
        <v>5</v>
      </c>
      <c r="C87" s="9" t="s">
        <v>6</v>
      </c>
      <c r="D87" s="9" t="s">
        <v>7</v>
      </c>
      <c r="E87" s="9" t="s">
        <v>8</v>
      </c>
      <c r="F87" s="9" t="s">
        <v>9</v>
      </c>
    </row>
    <row r="88">
      <c r="A88" s="13">
        <v>1.0</v>
      </c>
      <c r="B88" s="15" t="s">
        <v>49</v>
      </c>
      <c r="C88" s="19">
        <v>45689.0</v>
      </c>
      <c r="D88" s="22">
        <v>1694.62</v>
      </c>
      <c r="E88" s="25"/>
      <c r="F88" s="28"/>
    </row>
    <row r="89">
      <c r="A89" s="30" t="s">
        <v>21</v>
      </c>
      <c r="B89" s="31"/>
      <c r="C89" s="32"/>
      <c r="D89" s="24">
        <f>round(D88*(1+5.26%),2)</f>
        <v>1783.76</v>
      </c>
      <c r="E89" s="38"/>
      <c r="F89" s="28"/>
    </row>
    <row r="90">
      <c r="A90" s="30" t="s">
        <v>24</v>
      </c>
      <c r="B90" s="31"/>
      <c r="C90" s="32"/>
      <c r="D90" s="24">
        <f>round(D89*10%,2)</f>
        <v>178.38</v>
      </c>
      <c r="E90" s="38"/>
      <c r="F90" s="28"/>
    </row>
    <row r="91">
      <c r="A91" s="33" t="s">
        <v>9</v>
      </c>
      <c r="B91" s="31"/>
      <c r="C91" s="32"/>
      <c r="D91" s="39">
        <f>D89-D90</f>
        <v>1605.38</v>
      </c>
      <c r="E91" s="46">
        <v>25735.0</v>
      </c>
      <c r="F91" s="41">
        <f>round(D91*E91,0)</f>
        <v>41314454</v>
      </c>
    </row>
    <row r="92">
      <c r="A92" s="33" t="s">
        <v>26</v>
      </c>
      <c r="B92" s="31"/>
      <c r="C92" s="32"/>
      <c r="D92" s="39"/>
      <c r="E92" s="46"/>
      <c r="F92" s="41">
        <f>round(F91*10%,0)</f>
        <v>4131445</v>
      </c>
    </row>
    <row r="93">
      <c r="A93" s="33" t="s">
        <v>16</v>
      </c>
      <c r="B93" s="31"/>
      <c r="C93" s="32"/>
      <c r="D93" s="39"/>
      <c r="E93" s="46"/>
      <c r="F93" s="41">
        <f>F91+F92</f>
        <v>45445899</v>
      </c>
    </row>
    <row r="97">
      <c r="A97" s="2" t="s">
        <v>51</v>
      </c>
    </row>
    <row r="98">
      <c r="A98" s="5"/>
      <c r="B98" s="5"/>
      <c r="C98" s="5"/>
      <c r="D98" s="5"/>
      <c r="E98" s="5"/>
      <c r="F98" s="5"/>
    </row>
    <row r="99">
      <c r="A99" s="9" t="s">
        <v>4</v>
      </c>
      <c r="B99" s="9" t="s">
        <v>5</v>
      </c>
      <c r="C99" s="9" t="s">
        <v>6</v>
      </c>
      <c r="D99" s="9" t="s">
        <v>7</v>
      </c>
      <c r="E99" s="9" t="s">
        <v>8</v>
      </c>
      <c r="F99" s="9" t="s">
        <v>9</v>
      </c>
    </row>
    <row r="100">
      <c r="A100" s="13">
        <v>1.0</v>
      </c>
      <c r="B100" s="15" t="s">
        <v>49</v>
      </c>
      <c r="C100" s="19">
        <v>45717.0</v>
      </c>
      <c r="D100" s="22">
        <v>1737.59</v>
      </c>
      <c r="E100" s="25"/>
      <c r="F100" s="28"/>
    </row>
    <row r="101">
      <c r="A101" s="30" t="s">
        <v>21</v>
      </c>
      <c r="B101" s="31"/>
      <c r="C101" s="32"/>
      <c r="D101" s="24">
        <f>round(D100*(1+5.26%),2)</f>
        <v>1828.99</v>
      </c>
      <c r="E101" s="38"/>
      <c r="F101" s="28"/>
    </row>
    <row r="102">
      <c r="A102" s="30" t="s">
        <v>24</v>
      </c>
      <c r="B102" s="31"/>
      <c r="C102" s="32"/>
      <c r="D102" s="24">
        <f>round(D101*10%,2)</f>
        <v>182.9</v>
      </c>
      <c r="E102" s="38"/>
      <c r="F102" s="28"/>
    </row>
    <row r="103">
      <c r="A103" s="33" t="s">
        <v>9</v>
      </c>
      <c r="B103" s="31"/>
      <c r="C103" s="32"/>
      <c r="D103" s="39">
        <f>D101-D102</f>
        <v>1646.09</v>
      </c>
      <c r="E103" s="46">
        <v>25775.0</v>
      </c>
      <c r="F103" s="41">
        <f>round(D103*E103,0)</f>
        <v>42427970</v>
      </c>
    </row>
    <row r="104">
      <c r="A104" s="33" t="s">
        <v>26</v>
      </c>
      <c r="B104" s="31"/>
      <c r="C104" s="32"/>
      <c r="D104" s="39"/>
      <c r="E104" s="46"/>
      <c r="F104" s="41">
        <f>round(F103*10%,0)</f>
        <v>4242797</v>
      </c>
    </row>
    <row r="105">
      <c r="A105" s="33" t="s">
        <v>16</v>
      </c>
      <c r="B105" s="31"/>
      <c r="C105" s="32"/>
      <c r="D105" s="39"/>
      <c r="E105" s="46"/>
      <c r="F105" s="41">
        <f>F103+F104</f>
        <v>46670767</v>
      </c>
    </row>
    <row r="109">
      <c r="A109" s="2" t="s">
        <v>51</v>
      </c>
    </row>
    <row r="110">
      <c r="A110" s="5"/>
      <c r="B110" s="5"/>
      <c r="C110" s="5"/>
      <c r="D110" s="5"/>
      <c r="E110" s="5"/>
      <c r="F110" s="5"/>
    </row>
    <row r="111">
      <c r="A111" s="9" t="s">
        <v>4</v>
      </c>
      <c r="B111" s="9" t="s">
        <v>5</v>
      </c>
      <c r="C111" s="9" t="s">
        <v>6</v>
      </c>
      <c r="D111" s="9" t="s">
        <v>7</v>
      </c>
      <c r="E111" s="9" t="s">
        <v>8</v>
      </c>
      <c r="F111" s="9" t="s">
        <v>9</v>
      </c>
    </row>
    <row r="112">
      <c r="A112" s="13">
        <v>1.0</v>
      </c>
      <c r="B112" s="15" t="s">
        <v>49</v>
      </c>
      <c r="C112" s="19">
        <v>45748.0</v>
      </c>
      <c r="D112" s="22">
        <v>1864.54</v>
      </c>
      <c r="E112" s="25"/>
      <c r="F112" s="28"/>
    </row>
    <row r="113">
      <c r="A113" s="30" t="s">
        <v>21</v>
      </c>
      <c r="B113" s="31"/>
      <c r="C113" s="32"/>
      <c r="D113" s="24">
        <f>round(D112*(1+5.26%),2)</f>
        <v>1962.61</v>
      </c>
      <c r="E113" s="38"/>
      <c r="F113" s="28"/>
    </row>
    <row r="114">
      <c r="A114" s="30" t="s">
        <v>24</v>
      </c>
      <c r="B114" s="31"/>
      <c r="C114" s="32"/>
      <c r="D114" s="24">
        <f>round(D113*10%,2)</f>
        <v>196.26</v>
      </c>
      <c r="E114" s="38"/>
      <c r="F114" s="28"/>
    </row>
    <row r="115">
      <c r="A115" s="33" t="s">
        <v>9</v>
      </c>
      <c r="B115" s="31"/>
      <c r="C115" s="32"/>
      <c r="D115" s="39">
        <f>D113-D114</f>
        <v>1766.35</v>
      </c>
      <c r="E115" s="46">
        <v>26190.0</v>
      </c>
      <c r="F115" s="41">
        <f>round(D115*E115,0)</f>
        <v>46260707</v>
      </c>
    </row>
    <row r="116">
      <c r="A116" s="33" t="s">
        <v>26</v>
      </c>
      <c r="B116" s="31"/>
      <c r="C116" s="32"/>
      <c r="D116" s="39"/>
      <c r="E116" s="46"/>
      <c r="F116" s="41">
        <f>round(F115*10%,0)</f>
        <v>4626071</v>
      </c>
    </row>
    <row r="117">
      <c r="A117" s="33" t="s">
        <v>16</v>
      </c>
      <c r="B117" s="31"/>
      <c r="C117" s="32"/>
      <c r="D117" s="39"/>
      <c r="E117" s="46"/>
      <c r="F117" s="41">
        <f>F115+F116</f>
        <v>50886778</v>
      </c>
    </row>
    <row r="121">
      <c r="A121" s="2" t="s">
        <v>51</v>
      </c>
    </row>
    <row r="122">
      <c r="A122" s="5"/>
      <c r="B122" s="5"/>
      <c r="C122" s="5"/>
      <c r="D122" s="5"/>
      <c r="E122" s="5"/>
      <c r="F122" s="5"/>
    </row>
    <row r="123">
      <c r="A123" s="9" t="s">
        <v>4</v>
      </c>
      <c r="B123" s="9" t="s">
        <v>5</v>
      </c>
      <c r="C123" s="9" t="s">
        <v>6</v>
      </c>
      <c r="D123" s="9" t="s">
        <v>7</v>
      </c>
      <c r="E123" s="9" t="s">
        <v>8</v>
      </c>
      <c r="F123" s="9" t="s">
        <v>9</v>
      </c>
    </row>
    <row r="124">
      <c r="A124" s="13">
        <v>1.0</v>
      </c>
      <c r="B124" s="15" t="s">
        <v>49</v>
      </c>
      <c r="C124" s="19">
        <v>45778.0</v>
      </c>
      <c r="D124" s="22">
        <v>2128.36</v>
      </c>
      <c r="E124" s="25"/>
      <c r="F124" s="28"/>
    </row>
    <row r="125">
      <c r="A125" s="30" t="s">
        <v>21</v>
      </c>
      <c r="B125" s="31"/>
      <c r="C125" s="32"/>
      <c r="D125" s="24">
        <f>round(D124*(1+5.26%),2)</f>
        <v>2240.31</v>
      </c>
      <c r="E125" s="38"/>
      <c r="F125" s="28"/>
    </row>
    <row r="126">
      <c r="A126" s="30" t="s">
        <v>24</v>
      </c>
      <c r="B126" s="31"/>
      <c r="C126" s="32"/>
      <c r="D126" s="24">
        <f>round(D125*10%,2)</f>
        <v>224.03</v>
      </c>
      <c r="E126" s="38"/>
      <c r="F126" s="28"/>
    </row>
    <row r="127">
      <c r="A127" s="33" t="s">
        <v>9</v>
      </c>
      <c r="B127" s="31"/>
      <c r="C127" s="32"/>
      <c r="D127" s="39">
        <f>D125-D126</f>
        <v>2016.28</v>
      </c>
      <c r="E127" s="46">
        <v>26225.0</v>
      </c>
      <c r="F127" s="41">
        <f>round(D127*E127,0)</f>
        <v>52876943</v>
      </c>
    </row>
    <row r="128">
      <c r="A128" s="33" t="s">
        <v>26</v>
      </c>
      <c r="B128" s="31"/>
      <c r="C128" s="32"/>
      <c r="D128" s="39"/>
      <c r="E128" s="46"/>
      <c r="F128" s="41">
        <f>round(F127*10%,0)</f>
        <v>5287694</v>
      </c>
    </row>
    <row r="129">
      <c r="A129" s="33" t="s">
        <v>16</v>
      </c>
      <c r="B129" s="31"/>
      <c r="C129" s="32"/>
      <c r="D129" s="39"/>
      <c r="E129" s="46"/>
      <c r="F129" s="41">
        <f>F127+F128</f>
        <v>58164637</v>
      </c>
    </row>
    <row r="133">
      <c r="A133" s="2" t="s">
        <v>51</v>
      </c>
    </row>
    <row r="134">
      <c r="A134" s="5"/>
      <c r="B134" s="5"/>
      <c r="C134" s="5"/>
      <c r="D134" s="5"/>
      <c r="E134" s="5"/>
      <c r="F134" s="5"/>
    </row>
    <row r="135">
      <c r="A135" s="9" t="s">
        <v>4</v>
      </c>
      <c r="B135" s="9" t="s">
        <v>5</v>
      </c>
      <c r="C135" s="9" t="s">
        <v>6</v>
      </c>
      <c r="D135" s="9" t="s">
        <v>7</v>
      </c>
      <c r="E135" s="9" t="s">
        <v>8</v>
      </c>
      <c r="F135" s="9" t="s">
        <v>9</v>
      </c>
    </row>
    <row r="136">
      <c r="A136" s="13">
        <v>1.0</v>
      </c>
      <c r="B136" s="15" t="s">
        <v>49</v>
      </c>
      <c r="C136" s="19">
        <v>45809.0</v>
      </c>
      <c r="D136" s="22">
        <v>2616.22</v>
      </c>
      <c r="E136" s="25"/>
      <c r="F136" s="28"/>
    </row>
    <row r="137">
      <c r="A137" s="30" t="s">
        <v>21</v>
      </c>
      <c r="B137" s="31"/>
      <c r="C137" s="32"/>
      <c r="D137" s="24">
        <f>round(D136*(1+5.26%),2)</f>
        <v>2753.83</v>
      </c>
      <c r="E137" s="38"/>
      <c r="F137" s="28"/>
    </row>
    <row r="138">
      <c r="A138" s="30" t="s">
        <v>24</v>
      </c>
      <c r="B138" s="31"/>
      <c r="C138" s="32"/>
      <c r="D138" s="24">
        <f>round(D137*10%,2)</f>
        <v>275.38</v>
      </c>
      <c r="E138" s="38"/>
      <c r="F138" s="28"/>
    </row>
    <row r="139">
      <c r="A139" s="33" t="s">
        <v>9</v>
      </c>
      <c r="B139" s="31"/>
      <c r="C139" s="32"/>
      <c r="D139" s="39">
        <f>D137-D138</f>
        <v>2478.45</v>
      </c>
      <c r="E139" s="46">
        <v>26300.0</v>
      </c>
      <c r="F139" s="41">
        <f>round(D139*E139,0)</f>
        <v>65183235</v>
      </c>
    </row>
    <row r="140">
      <c r="A140" s="33" t="s">
        <v>26</v>
      </c>
      <c r="B140" s="31"/>
      <c r="C140" s="32"/>
      <c r="D140" s="39"/>
      <c r="E140" s="46"/>
      <c r="F140" s="41">
        <f>round(F139*10%,0)</f>
        <v>6518324</v>
      </c>
    </row>
    <row r="141">
      <c r="A141" s="33" t="s">
        <v>16</v>
      </c>
      <c r="B141" s="31"/>
      <c r="C141" s="32"/>
      <c r="D141" s="39"/>
      <c r="E141" s="46"/>
      <c r="F141" s="41">
        <f>F139+F140</f>
        <v>71701559</v>
      </c>
    </row>
    <row r="145">
      <c r="A145" s="2" t="s">
        <v>51</v>
      </c>
    </row>
    <row r="146">
      <c r="A146" s="5"/>
      <c r="B146" s="5"/>
      <c r="C146" s="5"/>
      <c r="D146" s="5"/>
      <c r="E146" s="5"/>
      <c r="F146" s="5"/>
    </row>
    <row r="147">
      <c r="A147" s="9" t="s">
        <v>4</v>
      </c>
      <c r="B147" s="9" t="s">
        <v>5</v>
      </c>
      <c r="C147" s="9" t="s">
        <v>6</v>
      </c>
      <c r="D147" s="9" t="s">
        <v>7</v>
      </c>
      <c r="E147" s="9" t="s">
        <v>8</v>
      </c>
      <c r="F147" s="9" t="s">
        <v>9</v>
      </c>
    </row>
    <row r="148">
      <c r="A148" s="13">
        <v>1.0</v>
      </c>
      <c r="B148" s="15" t="s">
        <v>49</v>
      </c>
      <c r="C148" s="19">
        <v>45839.0</v>
      </c>
      <c r="D148" s="22">
        <v>2681.38</v>
      </c>
      <c r="E148" s="25"/>
      <c r="F148" s="28"/>
    </row>
    <row r="149">
      <c r="A149" s="30" t="s">
        <v>32</v>
      </c>
      <c r="B149" s="31"/>
      <c r="C149" s="32"/>
      <c r="D149" s="24">
        <f>round(D148*(1+10%),2)</f>
        <v>2949.52</v>
      </c>
      <c r="E149" s="38"/>
      <c r="F149" s="28"/>
    </row>
    <row r="150">
      <c r="A150" s="30" t="s">
        <v>24</v>
      </c>
      <c r="B150" s="31"/>
      <c r="C150" s="32"/>
      <c r="D150" s="24">
        <f>round(D149*10%,2)</f>
        <v>294.95</v>
      </c>
      <c r="E150" s="38"/>
      <c r="F150" s="28"/>
    </row>
    <row r="151">
      <c r="A151" s="33" t="s">
        <v>9</v>
      </c>
      <c r="B151" s="31"/>
      <c r="C151" s="32"/>
      <c r="D151" s="39">
        <f>D149-D150</f>
        <v>2654.57</v>
      </c>
      <c r="E151" s="46">
        <v>26382.0</v>
      </c>
      <c r="F151" s="41">
        <f>round(D151*E151,0)</f>
        <v>70032866</v>
      </c>
    </row>
    <row r="152">
      <c r="A152" s="33" t="s">
        <v>26</v>
      </c>
      <c r="B152" s="31"/>
      <c r="C152" s="32"/>
      <c r="D152" s="39"/>
      <c r="E152" s="46"/>
      <c r="F152" s="41">
        <f>round(F151*10%,0)</f>
        <v>7003287</v>
      </c>
    </row>
    <row r="153">
      <c r="A153" s="33" t="s">
        <v>16</v>
      </c>
      <c r="B153" s="31"/>
      <c r="C153" s="32"/>
      <c r="D153" s="39"/>
      <c r="E153" s="46"/>
      <c r="F153" s="41">
        <f>F151+F152</f>
        <v>77036153</v>
      </c>
    </row>
    <row r="157">
      <c r="A157" s="2" t="s">
        <v>51</v>
      </c>
    </row>
    <row r="158">
      <c r="A158" s="5"/>
      <c r="B158" s="5"/>
      <c r="C158" s="5"/>
      <c r="D158" s="5"/>
      <c r="E158" s="5"/>
      <c r="F158" s="5"/>
    </row>
    <row r="159">
      <c r="A159" s="9" t="s">
        <v>4</v>
      </c>
      <c r="B159" s="9" t="s">
        <v>5</v>
      </c>
      <c r="C159" s="9" t="s">
        <v>6</v>
      </c>
      <c r="D159" s="9" t="s">
        <v>7</v>
      </c>
      <c r="E159" s="9" t="s">
        <v>8</v>
      </c>
      <c r="F159" s="9" t="s">
        <v>9</v>
      </c>
    </row>
    <row r="160">
      <c r="A160" s="13">
        <v>1.0</v>
      </c>
      <c r="B160" s="15" t="s">
        <v>49</v>
      </c>
      <c r="C160" s="19">
        <v>45870.0</v>
      </c>
      <c r="D160" s="22">
        <v>2720.31</v>
      </c>
      <c r="E160" s="25"/>
      <c r="F160" s="28"/>
    </row>
    <row r="161">
      <c r="A161" s="30" t="s">
        <v>32</v>
      </c>
      <c r="B161" s="31"/>
      <c r="C161" s="32"/>
      <c r="D161" s="24">
        <f>round(D160*(1+10%),2)</f>
        <v>2992.34</v>
      </c>
      <c r="E161" s="38"/>
      <c r="F161" s="28"/>
    </row>
    <row r="162">
      <c r="A162" s="30" t="s">
        <v>24</v>
      </c>
      <c r="B162" s="31"/>
      <c r="C162" s="32"/>
      <c r="D162" s="24">
        <f>round(D161*10%,2)</f>
        <v>299.23</v>
      </c>
      <c r="E162" s="38"/>
      <c r="F162" s="28"/>
    </row>
    <row r="163">
      <c r="A163" s="33" t="s">
        <v>9</v>
      </c>
      <c r="B163" s="31"/>
      <c r="C163" s="32"/>
      <c r="D163" s="39">
        <f>D161-D162</f>
        <v>2693.11</v>
      </c>
      <c r="E163" s="46">
        <v>26502.0</v>
      </c>
      <c r="F163" s="41">
        <f>round(D163*E163,0)</f>
        <v>71372801</v>
      </c>
    </row>
    <row r="164">
      <c r="A164" s="33" t="s">
        <v>26</v>
      </c>
      <c r="B164" s="31"/>
      <c r="C164" s="32"/>
      <c r="D164" s="39"/>
      <c r="E164" s="46"/>
      <c r="F164" s="41">
        <f>round(F163*10%,0)</f>
        <v>7137280</v>
      </c>
    </row>
    <row r="165">
      <c r="A165" s="33" t="s">
        <v>16</v>
      </c>
      <c r="B165" s="31"/>
      <c r="C165" s="32"/>
      <c r="D165" s="39"/>
      <c r="E165" s="46"/>
      <c r="F165" s="41">
        <f>F163+F164</f>
        <v>78510081</v>
      </c>
    </row>
    <row r="170">
      <c r="A170" s="2" t="s">
        <v>51</v>
      </c>
    </row>
    <row r="171">
      <c r="A171" s="5"/>
      <c r="B171" s="5"/>
      <c r="C171" s="5"/>
      <c r="D171" s="5"/>
      <c r="E171" s="5"/>
      <c r="F171" s="5"/>
    </row>
    <row r="172">
      <c r="A172" s="9" t="s">
        <v>4</v>
      </c>
      <c r="B172" s="9" t="s">
        <v>5</v>
      </c>
      <c r="C172" s="9" t="s">
        <v>6</v>
      </c>
      <c r="D172" s="9" t="s">
        <v>7</v>
      </c>
      <c r="E172" s="9" t="s">
        <v>8</v>
      </c>
      <c r="F172" s="9" t="s">
        <v>9</v>
      </c>
    </row>
    <row r="173">
      <c r="A173" s="13">
        <v>1.0</v>
      </c>
      <c r="B173" s="15" t="s">
        <v>49</v>
      </c>
      <c r="C173" s="19">
        <v>45901.0</v>
      </c>
      <c r="D173" s="22">
        <v>2747.84</v>
      </c>
      <c r="E173" s="25"/>
      <c r="F173" s="28"/>
    </row>
    <row r="174">
      <c r="A174" s="30" t="s">
        <v>32</v>
      </c>
      <c r="B174" s="31"/>
      <c r="C174" s="32"/>
      <c r="D174" s="24">
        <f>round(D173*(1+10%),2)</f>
        <v>3022.62</v>
      </c>
      <c r="E174" s="38"/>
      <c r="F174" s="28"/>
    </row>
    <row r="175">
      <c r="A175" s="30" t="s">
        <v>24</v>
      </c>
      <c r="B175" s="31"/>
      <c r="C175" s="32"/>
      <c r="D175" s="24">
        <f>round(D174*10%,2)</f>
        <v>302.26</v>
      </c>
      <c r="E175" s="38"/>
      <c r="F175" s="28"/>
    </row>
    <row r="176">
      <c r="A176" s="33" t="s">
        <v>9</v>
      </c>
      <c r="B176" s="31"/>
      <c r="C176" s="32"/>
      <c r="D176" s="39">
        <f>D174-D175</f>
        <v>2720.36</v>
      </c>
      <c r="E176" s="46">
        <v>26446.0</v>
      </c>
      <c r="F176" s="41">
        <f>round(D176*E176,0)</f>
        <v>71942641</v>
      </c>
    </row>
    <row r="177">
      <c r="A177" s="33" t="s">
        <v>26</v>
      </c>
      <c r="B177" s="31"/>
      <c r="C177" s="32"/>
      <c r="D177" s="39"/>
      <c r="E177" s="46"/>
      <c r="F177" s="41">
        <f>round(F176*10%,0)</f>
        <v>7194264</v>
      </c>
    </row>
    <row r="178">
      <c r="A178" s="33" t="s">
        <v>16</v>
      </c>
      <c r="B178" s="31"/>
      <c r="C178" s="32"/>
      <c r="D178" s="39"/>
      <c r="E178" s="46"/>
      <c r="F178" s="41">
        <f>F176+F177</f>
        <v>79136905</v>
      </c>
    </row>
    <row r="184">
      <c r="A184" s="2" t="s">
        <v>51</v>
      </c>
    </row>
    <row r="185">
      <c r="A185" s="5"/>
      <c r="B185" s="5"/>
      <c r="C185" s="5"/>
      <c r="D185" s="5"/>
      <c r="E185" s="5"/>
      <c r="F185" s="5"/>
    </row>
    <row r="186">
      <c r="A186" s="9" t="s">
        <v>4</v>
      </c>
      <c r="B186" s="9" t="s">
        <v>5</v>
      </c>
      <c r="C186" s="9" t="s">
        <v>6</v>
      </c>
      <c r="D186" s="9" t="s">
        <v>7</v>
      </c>
      <c r="E186" s="9" t="s">
        <v>8</v>
      </c>
      <c r="F186" s="9" t="s">
        <v>9</v>
      </c>
    </row>
    <row r="187">
      <c r="A187" s="13">
        <v>1.0</v>
      </c>
      <c r="B187" s="15" t="s">
        <v>49</v>
      </c>
      <c r="C187" s="19">
        <v>45931.0</v>
      </c>
      <c r="D187" s="22">
        <v>2667.09</v>
      </c>
      <c r="E187" s="25"/>
      <c r="F187" s="28"/>
    </row>
    <row r="188">
      <c r="A188" s="30" t="s">
        <v>32</v>
      </c>
      <c r="B188" s="31"/>
      <c r="C188" s="32"/>
      <c r="D188" s="24">
        <f>round(D187*(1+10%),2)</f>
        <v>2933.8</v>
      </c>
      <c r="E188" s="38"/>
      <c r="F188" s="28"/>
    </row>
    <row r="189">
      <c r="A189" s="30" t="s">
        <v>24</v>
      </c>
      <c r="B189" s="31"/>
      <c r="C189" s="32"/>
      <c r="D189" s="24">
        <f>round(D188*10%,2)</f>
        <v>293.38</v>
      </c>
      <c r="E189" s="38"/>
      <c r="F189" s="28"/>
    </row>
    <row r="190">
      <c r="A190" s="33" t="s">
        <v>9</v>
      </c>
      <c r="B190" s="31"/>
      <c r="C190" s="32"/>
      <c r="D190" s="39">
        <f>D188-D189</f>
        <v>2640.42</v>
      </c>
      <c r="E190" s="46">
        <v>26347.0</v>
      </c>
      <c r="F190" s="41">
        <f>round(D190*E190,0)</f>
        <v>69567146</v>
      </c>
    </row>
    <row r="191">
      <c r="A191" s="33" t="s">
        <v>26</v>
      </c>
      <c r="B191" s="31"/>
      <c r="C191" s="32"/>
      <c r="D191" s="39"/>
      <c r="E191" s="46"/>
      <c r="F191" s="41">
        <f>round(F190*10%,0)</f>
        <v>6956715</v>
      </c>
    </row>
    <row r="192">
      <c r="A192" s="33" t="s">
        <v>16</v>
      </c>
      <c r="B192" s="31"/>
      <c r="C192" s="32"/>
      <c r="D192" s="39"/>
      <c r="E192" s="46"/>
      <c r="F192" s="41">
        <f>F190+F191</f>
        <v>76523861</v>
      </c>
    </row>
    <row r="197">
      <c r="A197" s="2" t="s">
        <v>51</v>
      </c>
    </row>
    <row r="198">
      <c r="A198" s="5"/>
      <c r="B198" s="5"/>
      <c r="C198" s="5"/>
      <c r="D198" s="5"/>
      <c r="E198" s="5"/>
      <c r="F198" s="5"/>
    </row>
    <row r="199">
      <c r="A199" s="9" t="s">
        <v>4</v>
      </c>
      <c r="B199" s="9" t="s">
        <v>5</v>
      </c>
      <c r="C199" s="9" t="s">
        <v>6</v>
      </c>
      <c r="D199" s="9" t="s">
        <v>7</v>
      </c>
      <c r="E199" s="9" t="s">
        <v>8</v>
      </c>
      <c r="F199" s="9" t="s">
        <v>9</v>
      </c>
    </row>
    <row r="200">
      <c r="A200" s="13">
        <v>1.0</v>
      </c>
      <c r="B200" s="15" t="s">
        <v>49</v>
      </c>
      <c r="C200" s="19">
        <v>45962.0</v>
      </c>
      <c r="D200" s="22">
        <v>2985.04</v>
      </c>
      <c r="E200" s="25"/>
      <c r="F200" s="28"/>
    </row>
    <row r="201">
      <c r="A201" s="30" t="s">
        <v>32</v>
      </c>
      <c r="B201" s="31"/>
      <c r="C201" s="32"/>
      <c r="D201" s="24">
        <f>round(D200*(1+10%),2)</f>
        <v>3283.54</v>
      </c>
      <c r="E201" s="38"/>
      <c r="F201" s="28"/>
    </row>
    <row r="202">
      <c r="A202" s="30" t="s">
        <v>24</v>
      </c>
      <c r="B202" s="31"/>
      <c r="C202" s="32"/>
      <c r="D202" s="24">
        <f>round(D201*10%,2)</f>
        <v>328.35</v>
      </c>
      <c r="E202" s="38"/>
      <c r="F202" s="28"/>
    </row>
    <row r="203">
      <c r="A203" s="33" t="s">
        <v>9</v>
      </c>
      <c r="B203" s="31"/>
      <c r="C203" s="32"/>
      <c r="D203" s="39">
        <f>D201-D202</f>
        <v>2955.19</v>
      </c>
      <c r="E203" s="46">
        <v>26412.0</v>
      </c>
      <c r="F203" s="41">
        <f>round(D203*E203,0)</f>
        <v>78052478</v>
      </c>
    </row>
    <row r="204">
      <c r="A204" s="33" t="s">
        <v>26</v>
      </c>
      <c r="B204" s="31"/>
      <c r="C204" s="32"/>
      <c r="D204" s="39"/>
      <c r="E204" s="46"/>
      <c r="F204" s="41">
        <f>round(F203*10%,0)</f>
        <v>7805248</v>
      </c>
    </row>
    <row r="205">
      <c r="A205" s="33" t="s">
        <v>16</v>
      </c>
      <c r="B205" s="31"/>
      <c r="C205" s="32"/>
      <c r="D205" s="39"/>
      <c r="E205" s="46"/>
      <c r="F205" s="41">
        <f>F203+F204</f>
        <v>85857726</v>
      </c>
    </row>
    <row r="211">
      <c r="A211" s="2" t="s">
        <v>51</v>
      </c>
    </row>
    <row r="212">
      <c r="A212" s="5"/>
      <c r="B212" s="5"/>
      <c r="C212" s="5"/>
      <c r="D212" s="5"/>
      <c r="E212" s="5"/>
      <c r="F212" s="5"/>
    </row>
    <row r="213">
      <c r="A213" s="9" t="s">
        <v>4</v>
      </c>
      <c r="B213" s="9" t="s">
        <v>5</v>
      </c>
      <c r="C213" s="9" t="s">
        <v>6</v>
      </c>
      <c r="D213" s="9" t="s">
        <v>7</v>
      </c>
      <c r="E213" s="9" t="s">
        <v>8</v>
      </c>
      <c r="F213" s="9" t="s">
        <v>9</v>
      </c>
    </row>
    <row r="214">
      <c r="A214" s="13">
        <v>1.0</v>
      </c>
      <c r="B214" s="15" t="s">
        <v>49</v>
      </c>
      <c r="C214" s="19">
        <v>45992.0</v>
      </c>
      <c r="D214" s="22">
        <v>2467.08</v>
      </c>
      <c r="E214" s="25"/>
      <c r="F214" s="28"/>
    </row>
    <row r="215">
      <c r="A215" s="30" t="s">
        <v>32</v>
      </c>
      <c r="B215" s="31"/>
      <c r="C215" s="32"/>
      <c r="D215" s="24">
        <f>round(D214*(1+10%),2)</f>
        <v>2713.79</v>
      </c>
      <c r="E215" s="38"/>
      <c r="F215" s="28"/>
    </row>
    <row r="216">
      <c r="A216" s="30" t="s">
        <v>24</v>
      </c>
      <c r="B216" s="31"/>
      <c r="C216" s="32"/>
      <c r="D216" s="24">
        <f>round(D215*10%,2)</f>
        <v>271.38</v>
      </c>
      <c r="E216" s="38"/>
      <c r="F216" s="28"/>
    </row>
    <row r="217">
      <c r="A217" s="33" t="s">
        <v>9</v>
      </c>
      <c r="B217" s="31"/>
      <c r="C217" s="32"/>
      <c r="D217" s="39">
        <f>D215-D216</f>
        <v>2442.41</v>
      </c>
      <c r="E217" s="46">
        <v>26377.0</v>
      </c>
      <c r="F217" s="41">
        <f>round(D217*E217,0)</f>
        <v>64423449</v>
      </c>
    </row>
    <row r="218">
      <c r="A218" s="33" t="s">
        <v>26</v>
      </c>
      <c r="B218" s="31"/>
      <c r="C218" s="32"/>
      <c r="D218" s="39"/>
      <c r="E218" s="46"/>
      <c r="F218" s="41">
        <f>round(F217*10%,0)</f>
        <v>6442345</v>
      </c>
    </row>
    <row r="219">
      <c r="A219" s="33" t="s">
        <v>16</v>
      </c>
      <c r="B219" s="31"/>
      <c r="C219" s="32"/>
      <c r="D219" s="39"/>
      <c r="E219" s="46"/>
      <c r="F219" s="41">
        <f>F217+F218</f>
        <v>70865794</v>
      </c>
    </row>
    <row r="225">
      <c r="A225" s="2" t="s">
        <v>51</v>
      </c>
    </row>
    <row r="226">
      <c r="A226" s="5"/>
      <c r="B226" s="5"/>
      <c r="C226" s="5"/>
      <c r="D226" s="5"/>
      <c r="E226" s="5"/>
      <c r="F226" s="5"/>
    </row>
    <row r="227">
      <c r="A227" s="9" t="s">
        <v>4</v>
      </c>
      <c r="B227" s="9" t="s">
        <v>5</v>
      </c>
      <c r="C227" s="9" t="s">
        <v>6</v>
      </c>
      <c r="D227" s="9" t="s">
        <v>7</v>
      </c>
      <c r="E227" s="9" t="s">
        <v>8</v>
      </c>
      <c r="F227" s="9" t="s">
        <v>9</v>
      </c>
    </row>
    <row r="228">
      <c r="A228" s="13">
        <v>1.0</v>
      </c>
      <c r="B228" s="15" t="s">
        <v>49</v>
      </c>
      <c r="C228" s="19">
        <v>46023.0</v>
      </c>
      <c r="D228" s="22">
        <v>2041.6</v>
      </c>
      <c r="E228" s="25"/>
      <c r="F228" s="28"/>
    </row>
    <row r="229">
      <c r="A229" s="30" t="s">
        <v>32</v>
      </c>
      <c r="B229" s="31"/>
      <c r="C229" s="32"/>
      <c r="D229" s="24">
        <f>round(D228*(1+10%),2)</f>
        <v>2245.76</v>
      </c>
      <c r="E229" s="38"/>
      <c r="F229" s="28"/>
    </row>
    <row r="230">
      <c r="A230" s="30" t="s">
        <v>24</v>
      </c>
      <c r="B230" s="31"/>
      <c r="C230" s="32"/>
      <c r="D230" s="24">
        <f>round(D229*10%,2)</f>
        <v>224.58</v>
      </c>
      <c r="E230" s="38"/>
      <c r="F230" s="28"/>
    </row>
    <row r="231">
      <c r="A231" s="33" t="s">
        <v>9</v>
      </c>
      <c r="B231" s="31"/>
      <c r="C231" s="32"/>
      <c r="D231" s="39">
        <f>D229-D230</f>
        <v>2021.18</v>
      </c>
      <c r="E231" s="46">
        <v>26145.0</v>
      </c>
      <c r="F231" s="41">
        <f>round(D231*E231,0)</f>
        <v>52843751</v>
      </c>
    </row>
    <row r="232">
      <c r="A232" s="33" t="s">
        <v>26</v>
      </c>
      <c r="B232" s="31"/>
      <c r="C232" s="32"/>
      <c r="D232" s="39"/>
      <c r="E232" s="46"/>
      <c r="F232" s="41">
        <f>round(F231*10%,0)</f>
        <v>5284375</v>
      </c>
    </row>
    <row r="233">
      <c r="A233" s="33" t="s">
        <v>16</v>
      </c>
      <c r="B233" s="31"/>
      <c r="C233" s="32"/>
      <c r="D233" s="39"/>
      <c r="E233" s="46"/>
      <c r="F233" s="41">
        <f>F231+F232</f>
        <v>58128126</v>
      </c>
    </row>
    <row r="238">
      <c r="A238" s="2" t="s">
        <v>51</v>
      </c>
    </row>
    <row r="239">
      <c r="A239" s="5"/>
      <c r="B239" s="5"/>
      <c r="C239" s="5"/>
      <c r="D239" s="5"/>
      <c r="E239" s="5"/>
      <c r="F239" s="5"/>
    </row>
    <row r="240">
      <c r="A240" s="9" t="s">
        <v>4</v>
      </c>
      <c r="B240" s="9" t="s">
        <v>5</v>
      </c>
      <c r="C240" s="9" t="s">
        <v>6</v>
      </c>
      <c r="D240" s="9" t="s">
        <v>7</v>
      </c>
      <c r="E240" s="9" t="s">
        <v>8</v>
      </c>
      <c r="F240" s="9" t="s">
        <v>9</v>
      </c>
    </row>
    <row r="241">
      <c r="A241" s="13">
        <v>1.0</v>
      </c>
      <c r="B241" s="15" t="s">
        <v>49</v>
      </c>
      <c r="C241" s="19">
        <v>46054.0</v>
      </c>
      <c r="D241" s="22">
        <v>1946.05</v>
      </c>
      <c r="E241" s="25"/>
      <c r="F241" s="28"/>
    </row>
    <row r="242">
      <c r="A242" s="30" t="s">
        <v>32</v>
      </c>
      <c r="B242" s="31"/>
      <c r="C242" s="32"/>
      <c r="D242" s="24">
        <f>round(D241*(1+10%),2)</f>
        <v>2140.66</v>
      </c>
      <c r="E242" s="38"/>
      <c r="F242" s="28"/>
    </row>
    <row r="243">
      <c r="A243" s="30" t="s">
        <v>24</v>
      </c>
      <c r="B243" s="31"/>
      <c r="C243" s="32"/>
      <c r="D243" s="24">
        <f>round(D242*10%,2)</f>
        <v>214.07</v>
      </c>
      <c r="E243" s="38"/>
      <c r="F243" s="28"/>
    </row>
    <row r="244">
      <c r="A244" s="33" t="s">
        <v>9</v>
      </c>
      <c r="B244" s="31"/>
      <c r="C244" s="32"/>
      <c r="D244" s="39">
        <f>D242-D243</f>
        <v>1926.59</v>
      </c>
      <c r="E244" s="46">
        <v>26240.0</v>
      </c>
      <c r="F244" s="41">
        <f>round(D244*E244,0)</f>
        <v>50553722</v>
      </c>
    </row>
    <row r="245">
      <c r="A245" s="33" t="s">
        <v>26</v>
      </c>
      <c r="B245" s="31"/>
      <c r="C245" s="32"/>
      <c r="D245" s="39"/>
      <c r="E245" s="46"/>
      <c r="F245" s="41">
        <f>round(F244*10%,0)</f>
        <v>5055372</v>
      </c>
    </row>
    <row r="246">
      <c r="A246" s="33" t="s">
        <v>16</v>
      </c>
      <c r="B246" s="31"/>
      <c r="C246" s="32"/>
      <c r="D246" s="39"/>
      <c r="E246" s="46"/>
      <c r="F246" s="41">
        <f>F244+F245</f>
        <v>55609094</v>
      </c>
    </row>
    <row r="251">
      <c r="A251" s="2" t="s">
        <v>51</v>
      </c>
    </row>
    <row r="252">
      <c r="A252" s="5"/>
      <c r="B252" s="5"/>
      <c r="C252" s="5"/>
      <c r="D252" s="5"/>
      <c r="E252" s="5"/>
      <c r="F252" s="5"/>
    </row>
    <row r="253">
      <c r="A253" s="9" t="s">
        <v>4</v>
      </c>
      <c r="B253" s="9" t="s">
        <v>5</v>
      </c>
      <c r="C253" s="9" t="s">
        <v>6</v>
      </c>
      <c r="D253" s="9" t="s">
        <v>7</v>
      </c>
      <c r="E253" s="9" t="s">
        <v>8</v>
      </c>
      <c r="F253" s="9" t="s">
        <v>9</v>
      </c>
    </row>
    <row r="254">
      <c r="A254" s="13">
        <v>1.0</v>
      </c>
      <c r="B254" s="15" t="s">
        <v>49</v>
      </c>
      <c r="C254" s="19">
        <v>46082.0</v>
      </c>
      <c r="D254" s="22">
        <v>1689.1</v>
      </c>
      <c r="E254" s="25"/>
      <c r="F254" s="28"/>
    </row>
    <row r="255">
      <c r="A255" s="30" t="s">
        <v>32</v>
      </c>
      <c r="B255" s="31"/>
      <c r="C255" s="32"/>
      <c r="D255" s="24">
        <f>round(D254*(1+10%),2)</f>
        <v>1858.01</v>
      </c>
      <c r="E255" s="38"/>
      <c r="F255" s="28"/>
    </row>
    <row r="256">
      <c r="A256" s="30" t="s">
        <v>24</v>
      </c>
      <c r="B256" s="31"/>
      <c r="C256" s="32"/>
      <c r="D256" s="24">
        <f>round(D255*10%,2)</f>
        <v>185.8</v>
      </c>
      <c r="E256" s="38"/>
      <c r="F256" s="28"/>
    </row>
    <row r="257">
      <c r="A257" s="33" t="s">
        <v>9</v>
      </c>
      <c r="B257" s="31"/>
      <c r="C257" s="32"/>
      <c r="D257" s="39">
        <f>D255-D256</f>
        <v>1672.21</v>
      </c>
      <c r="E257" s="46">
        <v>26357.0</v>
      </c>
      <c r="F257" s="41">
        <f>round(D257*E257,0)</f>
        <v>44074439</v>
      </c>
    </row>
    <row r="258">
      <c r="A258" s="33" t="s">
        <v>26</v>
      </c>
      <c r="B258" s="31"/>
      <c r="C258" s="32"/>
      <c r="D258" s="39"/>
      <c r="E258" s="46"/>
      <c r="F258" s="41">
        <f>round(F257*10%,0)</f>
        <v>4407444</v>
      </c>
    </row>
    <row r="259">
      <c r="A259" s="33" t="s">
        <v>16</v>
      </c>
      <c r="B259" s="31"/>
      <c r="C259" s="32"/>
      <c r="D259" s="39"/>
      <c r="E259" s="46"/>
      <c r="F259" s="41">
        <f>F257+F258</f>
        <v>48481883</v>
      </c>
    </row>
    <row r="265">
      <c r="A265" s="2" t="s">
        <v>51</v>
      </c>
    </row>
    <row r="266">
      <c r="A266" s="5"/>
      <c r="B266" s="5"/>
      <c r="C266" s="5"/>
      <c r="D266" s="5"/>
      <c r="E266" s="5"/>
      <c r="F266" s="5"/>
    </row>
    <row r="267">
      <c r="A267" s="9" t="s">
        <v>4</v>
      </c>
      <c r="B267" s="9" t="s">
        <v>5</v>
      </c>
      <c r="C267" s="9" t="s">
        <v>6</v>
      </c>
      <c r="D267" s="9" t="s">
        <v>7</v>
      </c>
      <c r="E267" s="9" t="s">
        <v>8</v>
      </c>
      <c r="F267" s="9" t="s">
        <v>9</v>
      </c>
    </row>
    <row r="268">
      <c r="A268" s="13">
        <v>1.0</v>
      </c>
      <c r="B268" s="15" t="s">
        <v>49</v>
      </c>
      <c r="C268" s="19">
        <v>46113.0</v>
      </c>
      <c r="D268" s="22">
        <v>970.13</v>
      </c>
      <c r="E268" s="25"/>
      <c r="F268" s="28"/>
    </row>
    <row r="269">
      <c r="A269" s="30" t="s">
        <v>32</v>
      </c>
      <c r="B269" s="31"/>
      <c r="C269" s="32"/>
      <c r="D269" s="24">
        <f>round(D268*(1+10%),2)</f>
        <v>1067.14</v>
      </c>
      <c r="E269" s="38"/>
      <c r="F269" s="28"/>
    </row>
    <row r="270">
      <c r="A270" s="30" t="s">
        <v>24</v>
      </c>
      <c r="B270" s="31"/>
      <c r="C270" s="32"/>
      <c r="D270" s="24">
        <f>round(D269*10%,2)</f>
        <v>106.71</v>
      </c>
      <c r="E270" s="38"/>
      <c r="F270" s="28"/>
    </row>
    <row r="271">
      <c r="A271" s="33" t="s">
        <v>9</v>
      </c>
      <c r="B271" s="31"/>
      <c r="C271" s="32"/>
      <c r="D271" s="39">
        <f>D269-D270</f>
        <v>960.43</v>
      </c>
      <c r="E271" s="46">
        <v>26368.0</v>
      </c>
      <c r="F271" s="41">
        <f>round(D271*E271,0)</f>
        <v>25324618</v>
      </c>
    </row>
    <row r="272">
      <c r="A272" s="33" t="s">
        <v>26</v>
      </c>
      <c r="B272" s="31"/>
      <c r="C272" s="32"/>
      <c r="D272" s="39"/>
      <c r="E272" s="46"/>
      <c r="F272" s="41">
        <f>round(F271*10%,0)</f>
        <v>2532462</v>
      </c>
    </row>
    <row r="273">
      <c r="A273" s="33" t="s">
        <v>16</v>
      </c>
      <c r="B273" s="31"/>
      <c r="C273" s="32"/>
      <c r="D273" s="39"/>
      <c r="E273" s="46"/>
      <c r="F273" s="41">
        <f>F271+F272</f>
        <v>27857080</v>
      </c>
    </row>
    <row r="279">
      <c r="A279" s="2" t="s">
        <v>51</v>
      </c>
    </row>
    <row r="280">
      <c r="A280" s="5"/>
      <c r="B280" s="5"/>
      <c r="C280" s="5"/>
      <c r="D280" s="5"/>
      <c r="E280" s="5"/>
      <c r="F280" s="5"/>
    </row>
    <row r="281">
      <c r="A281" s="9" t="s">
        <v>4</v>
      </c>
      <c r="B281" s="9" t="s">
        <v>5</v>
      </c>
      <c r="C281" s="9" t="s">
        <v>6</v>
      </c>
      <c r="D281" s="9" t="s">
        <v>7</v>
      </c>
      <c r="E281" s="9" t="s">
        <v>8</v>
      </c>
      <c r="F281" s="9" t="s">
        <v>9</v>
      </c>
    </row>
    <row r="282">
      <c r="A282" s="13">
        <v>1.0</v>
      </c>
      <c r="B282" s="15" t="s">
        <v>49</v>
      </c>
      <c r="C282" s="19">
        <v>46143.0</v>
      </c>
      <c r="D282" s="22">
        <v>847.38</v>
      </c>
      <c r="E282" s="25"/>
      <c r="F282" s="28"/>
    </row>
    <row r="283">
      <c r="A283" s="30" t="s">
        <v>32</v>
      </c>
      <c r="B283" s="31"/>
      <c r="C283" s="32"/>
      <c r="D283" s="24">
        <f>round(D282*(1+10%),2)</f>
        <v>932.12</v>
      </c>
      <c r="E283" s="38"/>
      <c r="F283" s="28"/>
    </row>
    <row r="284">
      <c r="A284" s="30" t="s">
        <v>24</v>
      </c>
      <c r="B284" s="31"/>
      <c r="C284" s="32"/>
      <c r="D284" s="24">
        <f>round(D283*10%,2)</f>
        <v>93.21</v>
      </c>
      <c r="E284" s="38"/>
      <c r="F284" s="28"/>
    </row>
    <row r="285">
      <c r="A285" s="33" t="s">
        <v>9</v>
      </c>
      <c r="B285" s="31"/>
      <c r="C285" s="32"/>
      <c r="D285" s="39">
        <f>D283-D284</f>
        <v>838.91</v>
      </c>
      <c r="E285" s="46">
        <v>26395.0</v>
      </c>
      <c r="F285" s="41">
        <f>round(D285*E285,0)</f>
        <v>22143029</v>
      </c>
    </row>
    <row r="286">
      <c r="A286" s="33" t="s">
        <v>26</v>
      </c>
      <c r="B286" s="31"/>
      <c r="C286" s="32"/>
      <c r="D286" s="39"/>
      <c r="E286" s="46"/>
      <c r="F286" s="41">
        <f>round(F285*10%,0)</f>
        <v>2214303</v>
      </c>
    </row>
    <row r="287">
      <c r="A287" s="33" t="s">
        <v>16</v>
      </c>
      <c r="B287" s="31"/>
      <c r="C287" s="32"/>
      <c r="D287" s="39"/>
      <c r="E287" s="46"/>
      <c r="F287" s="41">
        <f>F285+F286</f>
        <v>24357332</v>
      </c>
    </row>
    <row r="292">
      <c r="A292" s="2" t="s">
        <v>51</v>
      </c>
    </row>
    <row r="293">
      <c r="A293" s="5"/>
      <c r="B293" s="5"/>
      <c r="C293" s="5"/>
      <c r="D293" s="5"/>
      <c r="E293" s="5"/>
      <c r="F293" s="5"/>
    </row>
    <row r="294">
      <c r="A294" s="9" t="s">
        <v>4</v>
      </c>
      <c r="B294" s="9" t="s">
        <v>5</v>
      </c>
      <c r="C294" s="9" t="s">
        <v>6</v>
      </c>
      <c r="D294" s="9" t="s">
        <v>7</v>
      </c>
      <c r="E294" s="9" t="s">
        <v>8</v>
      </c>
      <c r="F294" s="9" t="s">
        <v>9</v>
      </c>
    </row>
    <row r="295">
      <c r="A295" s="13">
        <v>1.0</v>
      </c>
      <c r="B295" s="15" t="s">
        <v>49</v>
      </c>
      <c r="C295" s="19">
        <v>46174.0</v>
      </c>
      <c r="D295" s="22">
        <v>406.9</v>
      </c>
      <c r="E295" s="25"/>
      <c r="F295" s="28"/>
    </row>
    <row r="296">
      <c r="A296" s="30" t="s">
        <v>32</v>
      </c>
      <c r="B296" s="31"/>
      <c r="C296" s="32"/>
      <c r="D296" s="24">
        <f>round(D295*(1+10%),2)</f>
        <v>447.59</v>
      </c>
      <c r="E296" s="38"/>
      <c r="F296" s="28"/>
    </row>
    <row r="297">
      <c r="A297" s="30" t="s">
        <v>24</v>
      </c>
      <c r="B297" s="31"/>
      <c r="C297" s="32"/>
      <c r="D297" s="24">
        <f>round(D296*10%,2)</f>
        <v>44.76</v>
      </c>
      <c r="E297" s="38"/>
      <c r="F297" s="28"/>
    </row>
    <row r="298">
      <c r="A298" s="33" t="s">
        <v>9</v>
      </c>
      <c r="B298" s="31"/>
      <c r="C298" s="32"/>
      <c r="D298" s="39">
        <f>D296-D297</f>
        <v>402.83</v>
      </c>
      <c r="E298" s="46">
        <v>26466.0</v>
      </c>
      <c r="F298" s="41">
        <f>round(D298*E298,0)</f>
        <v>10661299</v>
      </c>
    </row>
    <row r="299">
      <c r="A299" s="33" t="s">
        <v>26</v>
      </c>
      <c r="B299" s="31"/>
      <c r="C299" s="32"/>
      <c r="D299" s="39"/>
      <c r="E299" s="46"/>
      <c r="F299" s="41">
        <f>round(F298*10%,0)</f>
        <v>1066130</v>
      </c>
    </row>
    <row r="300">
      <c r="A300" s="33" t="s">
        <v>16</v>
      </c>
      <c r="B300" s="31"/>
      <c r="C300" s="32"/>
      <c r="D300" s="39"/>
      <c r="E300" s="46"/>
      <c r="F300" s="41">
        <f>F298+F299</f>
        <v>11727429</v>
      </c>
    </row>
    <row r="306">
      <c r="A306" s="2" t="s">
        <v>51</v>
      </c>
    </row>
    <row r="307">
      <c r="A307" s="5"/>
      <c r="B307" s="5"/>
      <c r="C307" s="5"/>
      <c r="D307" s="5"/>
      <c r="E307" s="5"/>
      <c r="F307" s="5"/>
    </row>
    <row r="308">
      <c r="A308" s="9" t="s">
        <v>4</v>
      </c>
      <c r="B308" s="9" t="s">
        <v>5</v>
      </c>
      <c r="C308" s="9" t="s">
        <v>6</v>
      </c>
      <c r="D308" s="9" t="s">
        <v>7</v>
      </c>
      <c r="E308" s="9" t="s">
        <v>8</v>
      </c>
      <c r="F308" s="9" t="s">
        <v>9</v>
      </c>
    </row>
    <row r="309">
      <c r="A309" s="13">
        <v>1.0</v>
      </c>
      <c r="B309" s="15" t="s">
        <v>49</v>
      </c>
      <c r="C309" s="19">
        <v>46204.0</v>
      </c>
      <c r="D309" s="22">
        <v>314.53</v>
      </c>
      <c r="E309" s="25"/>
      <c r="F309" s="28"/>
    </row>
    <row r="310">
      <c r="A310" s="30" t="s">
        <v>32</v>
      </c>
      <c r="B310" s="31"/>
      <c r="C310" s="32"/>
      <c r="D310" s="24">
        <f>round(D309*(1+10%),2)</f>
        <v>345.98</v>
      </c>
      <c r="E310" s="38"/>
      <c r="F310" s="28"/>
    </row>
    <row r="311">
      <c r="A311" s="30" t="s">
        <v>24</v>
      </c>
      <c r="B311" s="31"/>
      <c r="C311" s="32"/>
      <c r="D311" s="24">
        <f>round(D310*10%,2)</f>
        <v>34.6</v>
      </c>
      <c r="E311" s="38"/>
      <c r="F311" s="28"/>
    </row>
    <row r="312">
      <c r="A312" s="33" t="s">
        <v>9</v>
      </c>
      <c r="B312" s="31"/>
      <c r="C312" s="32"/>
      <c r="D312" s="39">
        <f>D310-D311</f>
        <v>311.38</v>
      </c>
      <c r="E312" s="46">
        <v>26475.0</v>
      </c>
      <c r="F312" s="41">
        <f>round(D312*E312,0)</f>
        <v>8243786</v>
      </c>
    </row>
    <row r="313">
      <c r="A313" s="33" t="s">
        <v>26</v>
      </c>
      <c r="B313" s="31"/>
      <c r="C313" s="32"/>
      <c r="D313" s="39"/>
      <c r="E313" s="46"/>
      <c r="F313" s="41">
        <f>round(F312*10%,0)</f>
        <v>824379</v>
      </c>
    </row>
    <row r="314">
      <c r="A314" s="33" t="s">
        <v>16</v>
      </c>
      <c r="B314" s="31"/>
      <c r="C314" s="32"/>
      <c r="D314" s="39"/>
      <c r="E314" s="46"/>
      <c r="F314" s="41">
        <f>F312+F313</f>
        <v>9068165</v>
      </c>
    </row>
  </sheetData>
  <mergeCells count="150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49:F49"/>
    <mergeCell ref="A53:C53"/>
    <mergeCell ref="A54:C54"/>
    <mergeCell ref="A55:C55"/>
    <mergeCell ref="A56:C56"/>
    <mergeCell ref="A57:C57"/>
    <mergeCell ref="A61:F61"/>
    <mergeCell ref="A65:C65"/>
    <mergeCell ref="A66:C66"/>
    <mergeCell ref="A67:C67"/>
    <mergeCell ref="A68:C68"/>
    <mergeCell ref="A69:C69"/>
    <mergeCell ref="A73:F73"/>
    <mergeCell ref="A77:C77"/>
    <mergeCell ref="A78:C78"/>
    <mergeCell ref="A79:C79"/>
    <mergeCell ref="A80:C80"/>
    <mergeCell ref="A81:C81"/>
    <mergeCell ref="A85:F85"/>
    <mergeCell ref="A89:C89"/>
    <mergeCell ref="A90:C90"/>
    <mergeCell ref="A91:C91"/>
    <mergeCell ref="A92:C92"/>
    <mergeCell ref="A93:C93"/>
    <mergeCell ref="A97:F97"/>
    <mergeCell ref="A188:C188"/>
    <mergeCell ref="A189:C189"/>
    <mergeCell ref="A190:C190"/>
    <mergeCell ref="A191:C191"/>
    <mergeCell ref="A192:C192"/>
    <mergeCell ref="A197:F197"/>
    <mergeCell ref="A201:C201"/>
    <mergeCell ref="A202:C202"/>
    <mergeCell ref="A203:C203"/>
    <mergeCell ref="A204:C204"/>
    <mergeCell ref="A205:C205"/>
    <mergeCell ref="A211:F211"/>
    <mergeCell ref="A215:C215"/>
    <mergeCell ref="A216:C216"/>
    <mergeCell ref="A232:C232"/>
    <mergeCell ref="A233:C233"/>
    <mergeCell ref="A238:F238"/>
    <mergeCell ref="A242:C242"/>
    <mergeCell ref="A243:C243"/>
    <mergeCell ref="A244:C244"/>
    <mergeCell ref="A245:C245"/>
    <mergeCell ref="A246:C246"/>
    <mergeCell ref="A251:F251"/>
    <mergeCell ref="A255:C255"/>
    <mergeCell ref="A256:C256"/>
    <mergeCell ref="A257:C257"/>
    <mergeCell ref="A258:C258"/>
    <mergeCell ref="A259:C259"/>
    <mergeCell ref="A265:F265"/>
    <mergeCell ref="A269:C269"/>
    <mergeCell ref="A270:C270"/>
    <mergeCell ref="A271:C271"/>
    <mergeCell ref="A272:C272"/>
    <mergeCell ref="A273:C273"/>
    <mergeCell ref="A279:F279"/>
    <mergeCell ref="A283:C283"/>
    <mergeCell ref="A284:C284"/>
    <mergeCell ref="A285:C285"/>
    <mergeCell ref="A286:C286"/>
    <mergeCell ref="A287:C287"/>
    <mergeCell ref="A292:F292"/>
    <mergeCell ref="A296:C296"/>
    <mergeCell ref="A312:C312"/>
    <mergeCell ref="A313:C313"/>
    <mergeCell ref="A314:C314"/>
    <mergeCell ref="A297:C297"/>
    <mergeCell ref="A298:C298"/>
    <mergeCell ref="A299:C299"/>
    <mergeCell ref="A300:C300"/>
    <mergeCell ref="A306:F306"/>
    <mergeCell ref="A310:C310"/>
    <mergeCell ref="A311:C311"/>
    <mergeCell ref="A101:C101"/>
    <mergeCell ref="A102:C102"/>
    <mergeCell ref="A103:C103"/>
    <mergeCell ref="A104:C104"/>
    <mergeCell ref="A105:C105"/>
    <mergeCell ref="A109:F109"/>
    <mergeCell ref="A113:C113"/>
    <mergeCell ref="A114:C114"/>
    <mergeCell ref="A115:C115"/>
    <mergeCell ref="A116:C116"/>
    <mergeCell ref="A117:C117"/>
    <mergeCell ref="A121:F121"/>
    <mergeCell ref="A125:C125"/>
    <mergeCell ref="A126:C126"/>
    <mergeCell ref="A127:C127"/>
    <mergeCell ref="A128:C128"/>
    <mergeCell ref="A129:C129"/>
    <mergeCell ref="A133:F133"/>
    <mergeCell ref="A137:C137"/>
    <mergeCell ref="A138:C138"/>
    <mergeCell ref="A139:C139"/>
    <mergeCell ref="A140:C140"/>
    <mergeCell ref="A141:C141"/>
    <mergeCell ref="A145:F145"/>
    <mergeCell ref="A149:C149"/>
    <mergeCell ref="A150:C150"/>
    <mergeCell ref="A151:C151"/>
    <mergeCell ref="A152:C152"/>
    <mergeCell ref="A153:C153"/>
    <mergeCell ref="A157:F157"/>
    <mergeCell ref="A161:C161"/>
    <mergeCell ref="A162:C162"/>
    <mergeCell ref="A163:C163"/>
    <mergeCell ref="A164:C164"/>
    <mergeCell ref="A165:C165"/>
    <mergeCell ref="A170:F170"/>
    <mergeCell ref="A174:C174"/>
    <mergeCell ref="A175:C175"/>
    <mergeCell ref="A176:C176"/>
    <mergeCell ref="A177:C177"/>
    <mergeCell ref="A178:C178"/>
    <mergeCell ref="A184:F184"/>
    <mergeCell ref="A217:C217"/>
    <mergeCell ref="A218:C218"/>
    <mergeCell ref="A219:C219"/>
    <mergeCell ref="A225:F225"/>
    <mergeCell ref="A229:C229"/>
    <mergeCell ref="A230:C230"/>
    <mergeCell ref="A231:C23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25"/>
    <col customWidth="1" min="2" max="2" width="58.63"/>
    <col customWidth="1" min="3" max="3" width="11.0"/>
    <col customWidth="1" min="4" max="4" width="23.38"/>
    <col customWidth="1" min="5" max="5" width="11.5"/>
    <col customWidth="1" min="6" max="6" width="22.25"/>
  </cols>
  <sheetData>
    <row r="1">
      <c r="A1" s="52" t="s">
        <v>52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53"/>
      <c r="B2" s="53"/>
      <c r="C2" s="53"/>
      <c r="D2" s="53"/>
      <c r="E2" s="53"/>
      <c r="F2" s="53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13">
        <v>1.0</v>
      </c>
      <c r="B4" s="54" t="s">
        <v>53</v>
      </c>
      <c r="C4" s="55">
        <v>45505.0</v>
      </c>
      <c r="D4" s="22">
        <v>6783.25</v>
      </c>
      <c r="E4" s="56"/>
      <c r="F4" s="28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30" t="s">
        <v>21</v>
      </c>
      <c r="B5" s="31"/>
      <c r="C5" s="32"/>
      <c r="D5" s="24">
        <f>round(D4*(1+5.26%),2)</f>
        <v>7140.05</v>
      </c>
      <c r="E5" s="57"/>
      <c r="F5" s="28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30" t="s">
        <v>34</v>
      </c>
      <c r="B6" s="31"/>
      <c r="C6" s="32"/>
      <c r="D6" s="24">
        <f>round(D5*12%,2)</f>
        <v>856.81</v>
      </c>
      <c r="E6" s="57"/>
      <c r="F6" s="28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33" t="s">
        <v>9</v>
      </c>
      <c r="B7" s="31"/>
      <c r="C7" s="32"/>
      <c r="D7" s="39">
        <f>D5-D6</f>
        <v>6283.24</v>
      </c>
      <c r="E7" s="90">
        <v>25080.0</v>
      </c>
      <c r="F7" s="41">
        <f>D7*E7</f>
        <v>157583659.2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33" t="s">
        <v>26</v>
      </c>
      <c r="B8" s="31"/>
      <c r="C8" s="32"/>
      <c r="D8" s="39"/>
      <c r="E8" s="90"/>
      <c r="F8" s="41">
        <f>round(F7*10%,0)</f>
        <v>15758366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33" t="s">
        <v>16</v>
      </c>
      <c r="B9" s="31"/>
      <c r="C9" s="32"/>
      <c r="D9" s="39"/>
      <c r="E9" s="90"/>
      <c r="F9" s="41">
        <f>F7+F8</f>
        <v>173342025.2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52" t="s">
        <v>52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53"/>
      <c r="B14" s="53"/>
      <c r="C14" s="53"/>
      <c r="D14" s="53"/>
      <c r="E14" s="53"/>
      <c r="F14" s="53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13">
        <v>1.0</v>
      </c>
      <c r="B16" s="54" t="s">
        <v>53</v>
      </c>
      <c r="C16" s="55">
        <v>45536.0</v>
      </c>
      <c r="D16" s="22">
        <v>6068.19</v>
      </c>
      <c r="E16" s="56"/>
      <c r="F16" s="28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30" t="s">
        <v>21</v>
      </c>
      <c r="B17" s="31"/>
      <c r="C17" s="32"/>
      <c r="D17" s="24">
        <f>round(D16*(1+5.26%),2)</f>
        <v>6387.38</v>
      </c>
      <c r="E17" s="57"/>
      <c r="F17" s="28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30" t="s">
        <v>34</v>
      </c>
      <c r="B18" s="31"/>
      <c r="C18" s="32"/>
      <c r="D18" s="24">
        <f>round(D17*12%,2)</f>
        <v>766.49</v>
      </c>
      <c r="E18" s="57"/>
      <c r="F18" s="28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33" t="s">
        <v>9</v>
      </c>
      <c r="B19" s="31"/>
      <c r="C19" s="32"/>
      <c r="D19" s="39">
        <f>D17-D18</f>
        <v>5620.89</v>
      </c>
      <c r="E19" s="90">
        <v>24733.0</v>
      </c>
      <c r="F19" s="41">
        <f>D19*E19</f>
        <v>139021472.4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33" t="s">
        <v>26</v>
      </c>
      <c r="B20" s="31"/>
      <c r="C20" s="32"/>
      <c r="D20" s="39"/>
      <c r="E20" s="90"/>
      <c r="F20" s="41">
        <f>round(F19*10%,0)</f>
        <v>13902147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33" t="s">
        <v>16</v>
      </c>
      <c r="B21" s="31"/>
      <c r="C21" s="32"/>
      <c r="D21" s="39"/>
      <c r="E21" s="90"/>
      <c r="F21" s="41">
        <f>F19+F20</f>
        <v>152923619.4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52" t="s">
        <v>52</v>
      </c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53"/>
      <c r="B27" s="53"/>
      <c r="C27" s="53"/>
      <c r="D27" s="53"/>
      <c r="E27" s="53"/>
      <c r="F27" s="53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9" t="s">
        <v>4</v>
      </c>
      <c r="B28" s="9" t="s">
        <v>5</v>
      </c>
      <c r="C28" s="9" t="s">
        <v>6</v>
      </c>
      <c r="D28" s="9" t="s">
        <v>7</v>
      </c>
      <c r="E28" s="9" t="s">
        <v>8</v>
      </c>
      <c r="F28" s="9" t="s">
        <v>9</v>
      </c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13">
        <v>1.0</v>
      </c>
      <c r="B29" s="54" t="s">
        <v>53</v>
      </c>
      <c r="C29" s="55">
        <v>45566.0</v>
      </c>
      <c r="D29" s="22">
        <v>5585.38</v>
      </c>
      <c r="E29" s="56"/>
      <c r="F29" s="28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30" t="s">
        <v>21</v>
      </c>
      <c r="B30" s="31"/>
      <c r="C30" s="32"/>
      <c r="D30" s="24">
        <f>round(D29*(1+5.26%),2)</f>
        <v>5879.17</v>
      </c>
      <c r="E30" s="57"/>
      <c r="F30" s="2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30" t="s">
        <v>34</v>
      </c>
      <c r="B31" s="31"/>
      <c r="C31" s="32"/>
      <c r="D31" s="24">
        <f>round(D30*12%,2)</f>
        <v>705.5</v>
      </c>
      <c r="E31" s="57"/>
      <c r="F31" s="28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33" t="s">
        <v>9</v>
      </c>
      <c r="B32" s="31"/>
      <c r="C32" s="32"/>
      <c r="D32" s="39">
        <f>D30-D31</f>
        <v>5173.67</v>
      </c>
      <c r="E32" s="90">
        <v>25445.0</v>
      </c>
      <c r="F32" s="41">
        <f>D32*E32</f>
        <v>131644033.2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33" t="s">
        <v>26</v>
      </c>
      <c r="B33" s="31"/>
      <c r="C33" s="32"/>
      <c r="D33" s="39"/>
      <c r="E33" s="90"/>
      <c r="F33" s="41">
        <f>round(F32*10%,0)</f>
        <v>13164403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33" t="s">
        <v>16</v>
      </c>
      <c r="B34" s="31"/>
      <c r="C34" s="32"/>
      <c r="D34" s="39"/>
      <c r="E34" s="90"/>
      <c r="F34" s="41">
        <f>F32+F33</f>
        <v>144808436.2</v>
      </c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52" t="s">
        <v>52</v>
      </c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53"/>
      <c r="B39" s="53"/>
      <c r="C39" s="53"/>
      <c r="D39" s="53"/>
      <c r="E39" s="53"/>
      <c r="F39" s="53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9" t="s">
        <v>4</v>
      </c>
      <c r="B40" s="9" t="s">
        <v>5</v>
      </c>
      <c r="C40" s="9" t="s">
        <v>6</v>
      </c>
      <c r="D40" s="9" t="s">
        <v>7</v>
      </c>
      <c r="E40" s="9" t="s">
        <v>8</v>
      </c>
      <c r="F40" s="9" t="s">
        <v>9</v>
      </c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13">
        <v>1.0</v>
      </c>
      <c r="B41" s="54" t="s">
        <v>53</v>
      </c>
      <c r="C41" s="55">
        <v>45566.0</v>
      </c>
      <c r="D41" s="22">
        <v>5585.38</v>
      </c>
      <c r="E41" s="56"/>
      <c r="F41" s="28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30" t="s">
        <v>21</v>
      </c>
      <c r="B42" s="31"/>
      <c r="C42" s="32"/>
      <c r="D42" s="24">
        <f>round(D41*(1+5.26%),2)</f>
        <v>5879.17</v>
      </c>
      <c r="E42" s="57"/>
      <c r="F42" s="28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30" t="s">
        <v>34</v>
      </c>
      <c r="B43" s="31"/>
      <c r="C43" s="32"/>
      <c r="D43" s="24">
        <f>round(D42*12%,2)</f>
        <v>705.5</v>
      </c>
      <c r="E43" s="57"/>
      <c r="F43" s="28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33" t="s">
        <v>9</v>
      </c>
      <c r="B44" s="31"/>
      <c r="C44" s="32"/>
      <c r="D44" s="39">
        <f>D42-D43</f>
        <v>5173.67</v>
      </c>
      <c r="E44" s="90">
        <v>25445.0</v>
      </c>
      <c r="F44" s="41">
        <f>D44*E44</f>
        <v>131644033.2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33" t="s">
        <v>26</v>
      </c>
      <c r="B45" s="31"/>
      <c r="C45" s="32"/>
      <c r="D45" s="39"/>
      <c r="E45" s="90"/>
      <c r="F45" s="41">
        <f>round(F44*10%,0)</f>
        <v>13164403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33" t="s">
        <v>16</v>
      </c>
      <c r="B46" s="31"/>
      <c r="C46" s="32"/>
      <c r="D46" s="39"/>
      <c r="E46" s="90"/>
      <c r="F46" s="41">
        <f>F44+F45</f>
        <v>144808436.2</v>
      </c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52" t="s">
        <v>52</v>
      </c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53"/>
      <c r="B51" s="53"/>
      <c r="C51" s="53"/>
      <c r="D51" s="53"/>
      <c r="E51" s="53"/>
      <c r="F51" s="53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9" t="s">
        <v>4</v>
      </c>
      <c r="B52" s="9" t="s">
        <v>5</v>
      </c>
      <c r="C52" s="9" t="s">
        <v>6</v>
      </c>
      <c r="D52" s="9" t="s">
        <v>7</v>
      </c>
      <c r="E52" s="9" t="s">
        <v>8</v>
      </c>
      <c r="F52" s="9" t="s">
        <v>9</v>
      </c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13">
        <v>1.0</v>
      </c>
      <c r="B53" s="54" t="s">
        <v>53</v>
      </c>
      <c r="C53" s="55">
        <v>45597.0</v>
      </c>
      <c r="D53" s="22">
        <v>5631.5</v>
      </c>
      <c r="E53" s="56"/>
      <c r="F53" s="28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30" t="s">
        <v>21</v>
      </c>
      <c r="B54" s="31"/>
      <c r="C54" s="32"/>
      <c r="D54" s="24">
        <f>round(D53*(1+5.26%),2)</f>
        <v>5927.72</v>
      </c>
      <c r="E54" s="57"/>
      <c r="F54" s="28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30" t="s">
        <v>34</v>
      </c>
      <c r="B55" s="31"/>
      <c r="C55" s="32"/>
      <c r="D55" s="24">
        <f>round(D54*12%,2)</f>
        <v>711.33</v>
      </c>
      <c r="E55" s="57"/>
      <c r="F55" s="28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33" t="s">
        <v>9</v>
      </c>
      <c r="B56" s="31"/>
      <c r="C56" s="32"/>
      <c r="D56" s="39">
        <f>D54-D55</f>
        <v>5216.39</v>
      </c>
      <c r="E56" s="90">
        <v>25463.0</v>
      </c>
      <c r="F56" s="41">
        <f>D56*E56</f>
        <v>132824938.6</v>
      </c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33" t="s">
        <v>26</v>
      </c>
      <c r="B57" s="31"/>
      <c r="C57" s="32"/>
      <c r="D57" s="39"/>
      <c r="E57" s="90"/>
      <c r="F57" s="41">
        <f>round(F56*10%,0)</f>
        <v>13282494</v>
      </c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33" t="s">
        <v>16</v>
      </c>
      <c r="B58" s="31"/>
      <c r="C58" s="32"/>
      <c r="D58" s="39"/>
      <c r="E58" s="90"/>
      <c r="F58" s="41">
        <f>F56+F57</f>
        <v>146107432.6</v>
      </c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52" t="s">
        <v>56</v>
      </c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53"/>
      <c r="B63" s="53"/>
      <c r="C63" s="53"/>
      <c r="D63" s="53"/>
      <c r="E63" s="53"/>
      <c r="F63" s="53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9" t="s">
        <v>4</v>
      </c>
      <c r="B64" s="9" t="s">
        <v>5</v>
      </c>
      <c r="C64" s="9" t="s">
        <v>6</v>
      </c>
      <c r="D64" s="9" t="s">
        <v>7</v>
      </c>
      <c r="E64" s="9" t="s">
        <v>8</v>
      </c>
      <c r="F64" s="9" t="s">
        <v>9</v>
      </c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13">
        <v>1.0</v>
      </c>
      <c r="B65" s="54" t="s">
        <v>53</v>
      </c>
      <c r="C65" s="55">
        <v>45627.0</v>
      </c>
      <c r="D65" s="22">
        <v>5467.82</v>
      </c>
      <c r="E65" s="56"/>
      <c r="F65" s="28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30" t="s">
        <v>21</v>
      </c>
      <c r="B66" s="31"/>
      <c r="C66" s="32"/>
      <c r="D66" s="24">
        <f>round(D65*(1+5.26%),2)</f>
        <v>5755.43</v>
      </c>
      <c r="E66" s="57"/>
      <c r="F66" s="28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30" t="s">
        <v>34</v>
      </c>
      <c r="B67" s="31"/>
      <c r="C67" s="32"/>
      <c r="D67" s="24">
        <f>round(D66*12%,2)</f>
        <v>690.65</v>
      </c>
      <c r="E67" s="57"/>
      <c r="F67" s="28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33" t="s">
        <v>9</v>
      </c>
      <c r="B68" s="31"/>
      <c r="C68" s="32"/>
      <c r="D68" s="39">
        <f>D66-D67</f>
        <v>5064.78</v>
      </c>
      <c r="E68" s="90">
        <v>25551.0</v>
      </c>
      <c r="F68" s="41">
        <f>D68*E68</f>
        <v>129410193.8</v>
      </c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33" t="s">
        <v>26</v>
      </c>
      <c r="B69" s="31"/>
      <c r="C69" s="32"/>
      <c r="D69" s="39"/>
      <c r="E69" s="90"/>
      <c r="F69" s="41">
        <f>round(F68*10%,0)</f>
        <v>12941019</v>
      </c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33" t="s">
        <v>16</v>
      </c>
      <c r="B70" s="31"/>
      <c r="C70" s="32"/>
      <c r="D70" s="39"/>
      <c r="E70" s="90"/>
      <c r="F70" s="41">
        <f>F68+F69</f>
        <v>142351212.8</v>
      </c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52" t="s">
        <v>56</v>
      </c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53"/>
      <c r="B75" s="53"/>
      <c r="C75" s="53"/>
      <c r="D75" s="53"/>
      <c r="E75" s="53"/>
      <c r="F75" s="53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9" t="s">
        <v>4</v>
      </c>
      <c r="B76" s="9" t="s">
        <v>5</v>
      </c>
      <c r="C76" s="9" t="s">
        <v>6</v>
      </c>
      <c r="D76" s="9" t="s">
        <v>7</v>
      </c>
      <c r="E76" s="9" t="s">
        <v>8</v>
      </c>
      <c r="F76" s="9" t="s">
        <v>9</v>
      </c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13">
        <v>1.0</v>
      </c>
      <c r="B77" s="54" t="s">
        <v>53</v>
      </c>
      <c r="C77" s="55">
        <v>45658.0</v>
      </c>
      <c r="D77" s="22">
        <v>5768.24</v>
      </c>
      <c r="E77" s="56"/>
      <c r="F77" s="28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30" t="s">
        <v>21</v>
      </c>
      <c r="B78" s="31"/>
      <c r="C78" s="32"/>
      <c r="D78" s="24">
        <f>round(D77*(1+5.26%),2)</f>
        <v>6071.65</v>
      </c>
      <c r="E78" s="57"/>
      <c r="F78" s="28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30" t="s">
        <v>34</v>
      </c>
      <c r="B79" s="31"/>
      <c r="C79" s="32"/>
      <c r="D79" s="24">
        <f>round(D78*12%,2)</f>
        <v>728.6</v>
      </c>
      <c r="E79" s="57"/>
      <c r="F79" s="28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33" t="s">
        <v>9</v>
      </c>
      <c r="B80" s="31"/>
      <c r="C80" s="32"/>
      <c r="D80" s="39">
        <f>D78-D79</f>
        <v>5343.05</v>
      </c>
      <c r="E80" s="90">
        <v>25295.0</v>
      </c>
      <c r="F80" s="41">
        <f>D80*E80</f>
        <v>135152449.8</v>
      </c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33" t="s">
        <v>26</v>
      </c>
      <c r="B81" s="31"/>
      <c r="C81" s="32"/>
      <c r="D81" s="39"/>
      <c r="E81" s="90"/>
      <c r="F81" s="41">
        <f>round(F80*10%,0)</f>
        <v>13515245</v>
      </c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33" t="s">
        <v>16</v>
      </c>
      <c r="B82" s="31"/>
      <c r="C82" s="32"/>
      <c r="D82" s="39"/>
      <c r="E82" s="90"/>
      <c r="F82" s="41">
        <f>F80+F81</f>
        <v>148667694.8</v>
      </c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52" t="s">
        <v>56</v>
      </c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53"/>
      <c r="B87" s="53"/>
      <c r="C87" s="53"/>
      <c r="D87" s="53"/>
      <c r="E87" s="53"/>
      <c r="F87" s="53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9" t="s">
        <v>4</v>
      </c>
      <c r="B88" s="9" t="s">
        <v>5</v>
      </c>
      <c r="C88" s="9" t="s">
        <v>6</v>
      </c>
      <c r="D88" s="9" t="s">
        <v>7</v>
      </c>
      <c r="E88" s="9" t="s">
        <v>8</v>
      </c>
      <c r="F88" s="9" t="s">
        <v>9</v>
      </c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13">
        <v>1.0</v>
      </c>
      <c r="B89" s="54" t="s">
        <v>53</v>
      </c>
      <c r="C89" s="55">
        <v>45689.0</v>
      </c>
      <c r="D89" s="22">
        <v>5915.27</v>
      </c>
      <c r="E89" s="56"/>
      <c r="F89" s="28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30" t="s">
        <v>21</v>
      </c>
      <c r="B90" s="31"/>
      <c r="C90" s="32"/>
      <c r="D90" s="24">
        <f>round(D89*(1+5.26%),2)</f>
        <v>6226.41</v>
      </c>
      <c r="E90" s="57"/>
      <c r="F90" s="28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30" t="s">
        <v>34</v>
      </c>
      <c r="B91" s="31"/>
      <c r="C91" s="32"/>
      <c r="D91" s="24">
        <f>round(D90*12%,2)</f>
        <v>747.17</v>
      </c>
      <c r="E91" s="57"/>
      <c r="F91" s="28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33" t="s">
        <v>9</v>
      </c>
      <c r="B92" s="31"/>
      <c r="C92" s="32"/>
      <c r="D92" s="39">
        <f>D90-D91</f>
        <v>5479.24</v>
      </c>
      <c r="E92" s="90">
        <v>25735.0</v>
      </c>
      <c r="F92" s="41">
        <f>D92*E92</f>
        <v>141008241.4</v>
      </c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33" t="s">
        <v>26</v>
      </c>
      <c r="B93" s="31"/>
      <c r="C93" s="32"/>
      <c r="D93" s="39"/>
      <c r="E93" s="90"/>
      <c r="F93" s="41">
        <f>round(F92*10%,0)</f>
        <v>14100824</v>
      </c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33" t="s">
        <v>16</v>
      </c>
      <c r="B94" s="31"/>
      <c r="C94" s="32"/>
      <c r="D94" s="39"/>
      <c r="E94" s="90"/>
      <c r="F94" s="41">
        <f>F92+F93</f>
        <v>155109065.4</v>
      </c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52" t="s">
        <v>56</v>
      </c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53"/>
      <c r="B99" s="53"/>
      <c r="C99" s="53"/>
      <c r="D99" s="53"/>
      <c r="E99" s="53"/>
      <c r="F99" s="53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9" t="s">
        <v>4</v>
      </c>
      <c r="B100" s="9" t="s">
        <v>5</v>
      </c>
      <c r="C100" s="9" t="s">
        <v>6</v>
      </c>
      <c r="D100" s="9" t="s">
        <v>7</v>
      </c>
      <c r="E100" s="9" t="s">
        <v>8</v>
      </c>
      <c r="F100" s="9" t="s">
        <v>9</v>
      </c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13">
        <v>1.0</v>
      </c>
      <c r="B101" s="54" t="s">
        <v>53</v>
      </c>
      <c r="C101" s="55">
        <v>45717.0</v>
      </c>
      <c r="D101" s="22">
        <v>5518.75</v>
      </c>
      <c r="E101" s="56"/>
      <c r="F101" s="28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30" t="s">
        <v>21</v>
      </c>
      <c r="B102" s="31"/>
      <c r="C102" s="32"/>
      <c r="D102" s="24">
        <f>round(D101*(1+5.26%),2)</f>
        <v>5809.04</v>
      </c>
      <c r="E102" s="57"/>
      <c r="F102" s="28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30" t="s">
        <v>34</v>
      </c>
      <c r="B103" s="31"/>
      <c r="C103" s="32"/>
      <c r="D103" s="24">
        <f>round(D102*12%,2)</f>
        <v>697.08</v>
      </c>
      <c r="E103" s="57"/>
      <c r="F103" s="28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33" t="s">
        <v>9</v>
      </c>
      <c r="B104" s="31"/>
      <c r="C104" s="32"/>
      <c r="D104" s="39">
        <f>D102-D103</f>
        <v>5111.96</v>
      </c>
      <c r="E104" s="90">
        <v>25775.0</v>
      </c>
      <c r="F104" s="41">
        <f>D104*E104</f>
        <v>131760769</v>
      </c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33" t="s">
        <v>26</v>
      </c>
      <c r="B105" s="31"/>
      <c r="C105" s="32"/>
      <c r="D105" s="39"/>
      <c r="E105" s="90"/>
      <c r="F105" s="41">
        <f>round(F104*10%,0)</f>
        <v>13176077</v>
      </c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33" t="s">
        <v>16</v>
      </c>
      <c r="B106" s="31"/>
      <c r="C106" s="32"/>
      <c r="D106" s="39"/>
      <c r="E106" s="90"/>
      <c r="F106" s="41">
        <f>F104+F105</f>
        <v>144936846</v>
      </c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52" t="s">
        <v>56</v>
      </c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53"/>
      <c r="B111" s="53"/>
      <c r="C111" s="53"/>
      <c r="D111" s="53"/>
      <c r="E111" s="53"/>
      <c r="F111" s="53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9" t="s">
        <v>4</v>
      </c>
      <c r="B112" s="9" t="s">
        <v>5</v>
      </c>
      <c r="C112" s="9" t="s">
        <v>6</v>
      </c>
      <c r="D112" s="9" t="s">
        <v>7</v>
      </c>
      <c r="E112" s="9" t="s">
        <v>8</v>
      </c>
      <c r="F112" s="9" t="s">
        <v>9</v>
      </c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13">
        <v>1.0</v>
      </c>
      <c r="B113" s="54" t="s">
        <v>53</v>
      </c>
      <c r="C113" s="55">
        <v>45748.0</v>
      </c>
      <c r="D113" s="22">
        <v>4865.67</v>
      </c>
      <c r="E113" s="56"/>
      <c r="F113" s="28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30" t="s">
        <v>21</v>
      </c>
      <c r="B114" s="31"/>
      <c r="C114" s="32"/>
      <c r="D114" s="24">
        <f>round(D113*(1+5.26%),2)</f>
        <v>5121.6</v>
      </c>
      <c r="E114" s="57"/>
      <c r="F114" s="28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30" t="s">
        <v>34</v>
      </c>
      <c r="B115" s="31"/>
      <c r="C115" s="32"/>
      <c r="D115" s="24">
        <f>round(D114*12%,2)</f>
        <v>614.59</v>
      </c>
      <c r="E115" s="57"/>
      <c r="F115" s="28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33" t="s">
        <v>9</v>
      </c>
      <c r="B116" s="31"/>
      <c r="C116" s="32"/>
      <c r="D116" s="39">
        <f>D114-D115</f>
        <v>4507.01</v>
      </c>
      <c r="E116" s="90">
        <v>26190.0</v>
      </c>
      <c r="F116" s="41">
        <f>D116*E116</f>
        <v>118038591.9</v>
      </c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33" t="s">
        <v>26</v>
      </c>
      <c r="B117" s="31"/>
      <c r="C117" s="32"/>
      <c r="D117" s="39"/>
      <c r="E117" s="90"/>
      <c r="F117" s="41">
        <f>round(F116*10%,0)</f>
        <v>11803859</v>
      </c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33" t="s">
        <v>16</v>
      </c>
      <c r="B118" s="31"/>
      <c r="C118" s="32"/>
      <c r="D118" s="39"/>
      <c r="E118" s="90"/>
      <c r="F118" s="41">
        <f>F116+F117</f>
        <v>129842450.9</v>
      </c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91" t="s">
        <v>56</v>
      </c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92"/>
      <c r="B123" s="92"/>
      <c r="C123" s="92"/>
      <c r="D123" s="92"/>
      <c r="E123" s="92"/>
      <c r="F123" s="92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75" t="s">
        <v>4</v>
      </c>
      <c r="B124" s="75" t="s">
        <v>5</v>
      </c>
      <c r="C124" s="75" t="s">
        <v>6</v>
      </c>
      <c r="D124" s="75" t="s">
        <v>7</v>
      </c>
      <c r="E124" s="75" t="s">
        <v>8</v>
      </c>
      <c r="F124" s="75" t="s">
        <v>9</v>
      </c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76">
        <v>1.0</v>
      </c>
      <c r="B125" s="93" t="s">
        <v>53</v>
      </c>
      <c r="C125" s="94">
        <v>45778.0</v>
      </c>
      <c r="D125" s="78">
        <v>2775.01</v>
      </c>
      <c r="E125" s="95"/>
      <c r="F125" s="80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84" t="s">
        <v>21</v>
      </c>
      <c r="B126" s="31"/>
      <c r="C126" s="32"/>
      <c r="D126" s="82">
        <f>round(D125*(1+5.26%),2)</f>
        <v>2920.98</v>
      </c>
      <c r="E126" s="96"/>
      <c r="F126" s="80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84" t="s">
        <v>34</v>
      </c>
      <c r="B127" s="31"/>
      <c r="C127" s="32"/>
      <c r="D127" s="82">
        <f>round(D126*12%,2)</f>
        <v>350.52</v>
      </c>
      <c r="E127" s="96"/>
      <c r="F127" s="80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85" t="s">
        <v>9</v>
      </c>
      <c r="B128" s="31"/>
      <c r="C128" s="32"/>
      <c r="D128" s="86">
        <f>D126-D127</f>
        <v>2570.46</v>
      </c>
      <c r="E128" s="97">
        <v>26225.0</v>
      </c>
      <c r="F128" s="87">
        <f>D128*E128</f>
        <v>67410313.5</v>
      </c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85" t="s">
        <v>26</v>
      </c>
      <c r="B129" s="31"/>
      <c r="C129" s="32"/>
      <c r="D129" s="88"/>
      <c r="E129" s="95"/>
      <c r="F129" s="87">
        <f>round(F128*10%,0)</f>
        <v>6741031</v>
      </c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85" t="s">
        <v>16</v>
      </c>
      <c r="B130" s="31"/>
      <c r="C130" s="32"/>
      <c r="D130" s="88"/>
      <c r="E130" s="95"/>
      <c r="F130" s="87">
        <f>F128+F129</f>
        <v>74151344.5</v>
      </c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91" t="s">
        <v>56</v>
      </c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92"/>
      <c r="B135" s="92"/>
      <c r="C135" s="92"/>
      <c r="D135" s="92"/>
      <c r="E135" s="92"/>
      <c r="F135" s="92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75" t="s">
        <v>4</v>
      </c>
      <c r="B136" s="75" t="s">
        <v>5</v>
      </c>
      <c r="C136" s="75" t="s">
        <v>6</v>
      </c>
      <c r="D136" s="75" t="s">
        <v>7</v>
      </c>
      <c r="E136" s="75" t="s">
        <v>8</v>
      </c>
      <c r="F136" s="75" t="s">
        <v>9</v>
      </c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76">
        <v>1.0</v>
      </c>
      <c r="B137" s="93" t="s">
        <v>53</v>
      </c>
      <c r="C137" s="94">
        <v>45809.0</v>
      </c>
      <c r="D137" s="78">
        <v>2719.39</v>
      </c>
      <c r="E137" s="95"/>
      <c r="F137" s="80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84" t="s">
        <v>21</v>
      </c>
      <c r="B138" s="31"/>
      <c r="C138" s="32"/>
      <c r="D138" s="82">
        <f>round(D137*(1+5.26%),2)</f>
        <v>2862.43</v>
      </c>
      <c r="E138" s="96"/>
      <c r="F138" s="80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84" t="s">
        <v>34</v>
      </c>
      <c r="B139" s="31"/>
      <c r="C139" s="32"/>
      <c r="D139" s="82">
        <f>round(D138*12%,2)</f>
        <v>343.49</v>
      </c>
      <c r="E139" s="96"/>
      <c r="F139" s="80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85" t="s">
        <v>9</v>
      </c>
      <c r="B140" s="31"/>
      <c r="C140" s="32"/>
      <c r="D140" s="86">
        <f>D138-D139</f>
        <v>2518.94</v>
      </c>
      <c r="E140" s="97">
        <v>26300.0</v>
      </c>
      <c r="F140" s="87">
        <f>D140*E140</f>
        <v>66248122</v>
      </c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85" t="s">
        <v>26</v>
      </c>
      <c r="B141" s="31"/>
      <c r="C141" s="32"/>
      <c r="D141" s="88"/>
      <c r="E141" s="95"/>
      <c r="F141" s="87">
        <f>round(F140*10%,0)</f>
        <v>6624812</v>
      </c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85" t="s">
        <v>16</v>
      </c>
      <c r="B142" s="31"/>
      <c r="C142" s="32"/>
      <c r="D142" s="88"/>
      <c r="E142" s="95"/>
      <c r="F142" s="87">
        <f>F140+F141</f>
        <v>72872934</v>
      </c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91" t="s">
        <v>56</v>
      </c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92"/>
      <c r="B147" s="92"/>
      <c r="C147" s="92"/>
      <c r="D147" s="92"/>
      <c r="E147" s="92"/>
      <c r="F147" s="92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75" t="s">
        <v>4</v>
      </c>
      <c r="B148" s="75" t="s">
        <v>5</v>
      </c>
      <c r="C148" s="75" t="s">
        <v>6</v>
      </c>
      <c r="D148" s="75" t="s">
        <v>7</v>
      </c>
      <c r="E148" s="75" t="s">
        <v>8</v>
      </c>
      <c r="F148" s="75" t="s">
        <v>9</v>
      </c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76">
        <v>1.0</v>
      </c>
      <c r="B149" s="93" t="s">
        <v>53</v>
      </c>
      <c r="C149" s="94">
        <v>45839.0</v>
      </c>
      <c r="D149" s="78">
        <v>2901.29</v>
      </c>
      <c r="E149" s="95"/>
      <c r="F149" s="80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81" t="s">
        <v>32</v>
      </c>
      <c r="B150" s="31"/>
      <c r="C150" s="32"/>
      <c r="D150" s="82">
        <f>round(D149*(1+10%),2)</f>
        <v>3191.42</v>
      </c>
      <c r="E150" s="96"/>
      <c r="F150" s="80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84" t="s">
        <v>34</v>
      </c>
      <c r="B151" s="31"/>
      <c r="C151" s="32"/>
      <c r="D151" s="82">
        <f>round(D150*12%,2)</f>
        <v>382.97</v>
      </c>
      <c r="E151" s="96"/>
      <c r="F151" s="80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85" t="s">
        <v>9</v>
      </c>
      <c r="B152" s="31"/>
      <c r="C152" s="32"/>
      <c r="D152" s="86">
        <f>D150-D151</f>
        <v>2808.45</v>
      </c>
      <c r="E152" s="97">
        <v>26382.0</v>
      </c>
      <c r="F152" s="87">
        <f>D152*E152</f>
        <v>74092527.9</v>
      </c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85" t="s">
        <v>26</v>
      </c>
      <c r="B153" s="31"/>
      <c r="C153" s="32"/>
      <c r="D153" s="88"/>
      <c r="E153" s="95"/>
      <c r="F153" s="87">
        <f>round(F152*10%,0)</f>
        <v>7409253</v>
      </c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85" t="s">
        <v>16</v>
      </c>
      <c r="B154" s="31"/>
      <c r="C154" s="32"/>
      <c r="D154" s="88"/>
      <c r="E154" s="95"/>
      <c r="F154" s="87">
        <f>F152+F153</f>
        <v>81501780.9</v>
      </c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91" t="s">
        <v>56</v>
      </c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92"/>
      <c r="B159" s="92"/>
      <c r="C159" s="92"/>
      <c r="D159" s="92"/>
      <c r="E159" s="92"/>
      <c r="F159" s="92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75" t="s">
        <v>4</v>
      </c>
      <c r="B160" s="75" t="s">
        <v>5</v>
      </c>
      <c r="C160" s="75" t="s">
        <v>6</v>
      </c>
      <c r="D160" s="75" t="s">
        <v>7</v>
      </c>
      <c r="E160" s="75" t="s">
        <v>8</v>
      </c>
      <c r="F160" s="75" t="s">
        <v>9</v>
      </c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76">
        <v>1.0</v>
      </c>
      <c r="B161" s="93" t="s">
        <v>53</v>
      </c>
      <c r="C161" s="94">
        <v>45870.0</v>
      </c>
      <c r="D161" s="78">
        <v>3096.11</v>
      </c>
      <c r="E161" s="95"/>
      <c r="F161" s="80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81" t="s">
        <v>32</v>
      </c>
      <c r="B162" s="31"/>
      <c r="C162" s="32"/>
      <c r="D162" s="82">
        <f>round(D161*(1+10%),2)</f>
        <v>3405.72</v>
      </c>
      <c r="E162" s="96"/>
      <c r="F162" s="80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84" t="s">
        <v>34</v>
      </c>
      <c r="B163" s="31"/>
      <c r="C163" s="32"/>
      <c r="D163" s="82">
        <f>round(D162*12%,2)</f>
        <v>408.69</v>
      </c>
      <c r="E163" s="96"/>
      <c r="F163" s="80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85" t="s">
        <v>9</v>
      </c>
      <c r="B164" s="31"/>
      <c r="C164" s="32"/>
      <c r="D164" s="86">
        <f>D162-D163</f>
        <v>2997.03</v>
      </c>
      <c r="E164" s="97">
        <v>26502.0</v>
      </c>
      <c r="F164" s="87">
        <f>D164*E164</f>
        <v>79427289.06</v>
      </c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85" t="s">
        <v>26</v>
      </c>
      <c r="B165" s="31"/>
      <c r="C165" s="32"/>
      <c r="D165" s="88"/>
      <c r="E165" s="95"/>
      <c r="F165" s="87">
        <f>round(F164*10%,0)</f>
        <v>7942729</v>
      </c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85" t="s">
        <v>16</v>
      </c>
      <c r="B166" s="31"/>
      <c r="C166" s="32"/>
      <c r="D166" s="88"/>
      <c r="E166" s="95"/>
      <c r="F166" s="87">
        <f>F164+F165</f>
        <v>87370018.06</v>
      </c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91" t="s">
        <v>56</v>
      </c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92"/>
      <c r="B172" s="92"/>
      <c r="C172" s="92"/>
      <c r="D172" s="92"/>
      <c r="E172" s="92"/>
      <c r="F172" s="92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75" t="s">
        <v>4</v>
      </c>
      <c r="B173" s="75" t="s">
        <v>5</v>
      </c>
      <c r="C173" s="75" t="s">
        <v>6</v>
      </c>
      <c r="D173" s="75" t="s">
        <v>7</v>
      </c>
      <c r="E173" s="75" t="s">
        <v>8</v>
      </c>
      <c r="F173" s="75" t="s">
        <v>9</v>
      </c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76">
        <v>1.0</v>
      </c>
      <c r="B174" s="93" t="s">
        <v>53</v>
      </c>
      <c r="C174" s="94">
        <v>45901.0</v>
      </c>
      <c r="D174" s="78">
        <v>2970.32</v>
      </c>
      <c r="E174" s="95"/>
      <c r="F174" s="80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81" t="s">
        <v>32</v>
      </c>
      <c r="B175" s="31"/>
      <c r="C175" s="32"/>
      <c r="D175" s="82">
        <f>round(D174*(1+10%),2)</f>
        <v>3267.35</v>
      </c>
      <c r="E175" s="96"/>
      <c r="F175" s="80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84" t="s">
        <v>34</v>
      </c>
      <c r="B176" s="31"/>
      <c r="C176" s="32"/>
      <c r="D176" s="82">
        <f>round(D175*12%,2)</f>
        <v>392.08</v>
      </c>
      <c r="E176" s="96"/>
      <c r="F176" s="80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85" t="s">
        <v>9</v>
      </c>
      <c r="B177" s="31"/>
      <c r="C177" s="32"/>
      <c r="D177" s="86">
        <f>D175-D176</f>
        <v>2875.27</v>
      </c>
      <c r="E177" s="97">
        <v>26446.0</v>
      </c>
      <c r="F177" s="87">
        <f>D177*E177</f>
        <v>76039390.42</v>
      </c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85" t="s">
        <v>26</v>
      </c>
      <c r="B178" s="31"/>
      <c r="C178" s="32"/>
      <c r="D178" s="88"/>
      <c r="E178" s="95"/>
      <c r="F178" s="87">
        <f>round(F177*10%,0)</f>
        <v>7603939</v>
      </c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85" t="s">
        <v>16</v>
      </c>
      <c r="B179" s="31"/>
      <c r="C179" s="32"/>
      <c r="D179" s="88"/>
      <c r="E179" s="95"/>
      <c r="F179" s="87">
        <f>F177+F178</f>
        <v>83643329.42</v>
      </c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91" t="s">
        <v>56</v>
      </c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92"/>
      <c r="B185" s="92"/>
      <c r="C185" s="92"/>
      <c r="D185" s="92"/>
      <c r="E185" s="92"/>
      <c r="F185" s="92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75" t="s">
        <v>4</v>
      </c>
      <c r="B186" s="75" t="s">
        <v>5</v>
      </c>
      <c r="C186" s="75" t="s">
        <v>6</v>
      </c>
      <c r="D186" s="75" t="s">
        <v>7</v>
      </c>
      <c r="E186" s="75" t="s">
        <v>8</v>
      </c>
      <c r="F186" s="75" t="s">
        <v>9</v>
      </c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76">
        <v>1.0</v>
      </c>
      <c r="B187" s="93" t="s">
        <v>53</v>
      </c>
      <c r="C187" s="94">
        <v>45931.0</v>
      </c>
      <c r="D187" s="78">
        <v>2993.33</v>
      </c>
      <c r="E187" s="95"/>
      <c r="F187" s="80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81" t="s">
        <v>32</v>
      </c>
      <c r="B188" s="31"/>
      <c r="C188" s="32"/>
      <c r="D188" s="82">
        <f>round(D187*(1+10%),2)</f>
        <v>3292.66</v>
      </c>
      <c r="E188" s="96"/>
      <c r="F188" s="80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84" t="s">
        <v>34</v>
      </c>
      <c r="B189" s="31"/>
      <c r="C189" s="32"/>
      <c r="D189" s="82">
        <f>round(D188*12%,2)</f>
        <v>395.12</v>
      </c>
      <c r="E189" s="96"/>
      <c r="F189" s="80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85" t="s">
        <v>9</v>
      </c>
      <c r="B190" s="31"/>
      <c r="C190" s="32"/>
      <c r="D190" s="86">
        <f>D188-D189</f>
        <v>2897.54</v>
      </c>
      <c r="E190" s="97">
        <v>26347.0</v>
      </c>
      <c r="F190" s="87">
        <f>D190*E190</f>
        <v>76341486.38</v>
      </c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85" t="s">
        <v>26</v>
      </c>
      <c r="B191" s="31"/>
      <c r="C191" s="32"/>
      <c r="D191" s="88"/>
      <c r="E191" s="95"/>
      <c r="F191" s="87">
        <f>round(F190*10%,0)</f>
        <v>7634149</v>
      </c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85" t="s">
        <v>16</v>
      </c>
      <c r="B192" s="31"/>
      <c r="C192" s="32"/>
      <c r="D192" s="88"/>
      <c r="E192" s="95"/>
      <c r="F192" s="87">
        <f>F190+F191</f>
        <v>83975635.38</v>
      </c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91" t="s">
        <v>56</v>
      </c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92"/>
      <c r="B198" s="92"/>
      <c r="C198" s="92"/>
      <c r="D198" s="92"/>
      <c r="E198" s="92"/>
      <c r="F198" s="92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75" t="s">
        <v>4</v>
      </c>
      <c r="B199" s="75" t="s">
        <v>5</v>
      </c>
      <c r="C199" s="75" t="s">
        <v>6</v>
      </c>
      <c r="D199" s="75" t="s">
        <v>7</v>
      </c>
      <c r="E199" s="75" t="s">
        <v>8</v>
      </c>
      <c r="F199" s="75" t="s">
        <v>9</v>
      </c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76">
        <v>1.0</v>
      </c>
      <c r="B200" s="93" t="s">
        <v>53</v>
      </c>
      <c r="C200" s="94">
        <v>45962.0</v>
      </c>
      <c r="D200" s="78">
        <v>3032.89</v>
      </c>
      <c r="E200" s="95"/>
      <c r="F200" s="80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81" t="s">
        <v>32</v>
      </c>
      <c r="B201" s="31"/>
      <c r="C201" s="32"/>
      <c r="D201" s="82">
        <f>round(D200*(1+10%),2)</f>
        <v>3336.18</v>
      </c>
      <c r="E201" s="96"/>
      <c r="F201" s="80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84" t="s">
        <v>34</v>
      </c>
      <c r="B202" s="31"/>
      <c r="C202" s="32"/>
      <c r="D202" s="82">
        <f>round(D201*12%,2)</f>
        <v>400.34</v>
      </c>
      <c r="E202" s="96"/>
      <c r="F202" s="80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85" t="s">
        <v>9</v>
      </c>
      <c r="B203" s="31"/>
      <c r="C203" s="32"/>
      <c r="D203" s="86">
        <f>D201-D202</f>
        <v>2935.84</v>
      </c>
      <c r="E203" s="97">
        <v>26412.0</v>
      </c>
      <c r="F203" s="87">
        <f>D203*E203</f>
        <v>77541406.08</v>
      </c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85" t="s">
        <v>26</v>
      </c>
      <c r="B204" s="31"/>
      <c r="C204" s="32"/>
      <c r="D204" s="88"/>
      <c r="E204" s="95"/>
      <c r="F204" s="87">
        <f>round(F203*10%,0)</f>
        <v>7754141</v>
      </c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85" t="s">
        <v>16</v>
      </c>
      <c r="B205" s="31"/>
      <c r="C205" s="32"/>
      <c r="D205" s="88"/>
      <c r="E205" s="95"/>
      <c r="F205" s="87">
        <f>F203+F204</f>
        <v>85295547.08</v>
      </c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91" t="s">
        <v>56</v>
      </c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92"/>
      <c r="B212" s="92"/>
      <c r="C212" s="92"/>
      <c r="D212" s="92"/>
      <c r="E212" s="92"/>
      <c r="F212" s="92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75" t="s">
        <v>4</v>
      </c>
      <c r="B213" s="75" t="s">
        <v>5</v>
      </c>
      <c r="C213" s="75" t="s">
        <v>6</v>
      </c>
      <c r="D213" s="75" t="s">
        <v>7</v>
      </c>
      <c r="E213" s="75" t="s">
        <v>8</v>
      </c>
      <c r="F213" s="75" t="s">
        <v>9</v>
      </c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76">
        <v>1.0</v>
      </c>
      <c r="B214" s="93" t="s">
        <v>53</v>
      </c>
      <c r="C214" s="94">
        <v>45992.0</v>
      </c>
      <c r="D214" s="78">
        <v>3089.79</v>
      </c>
      <c r="E214" s="95"/>
      <c r="F214" s="80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81" t="s">
        <v>32</v>
      </c>
      <c r="B215" s="31"/>
      <c r="C215" s="32"/>
      <c r="D215" s="82">
        <f>round(D214*(1+10%),2)</f>
        <v>3398.77</v>
      </c>
      <c r="E215" s="96"/>
      <c r="F215" s="80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84" t="s">
        <v>34</v>
      </c>
      <c r="B216" s="31"/>
      <c r="C216" s="32"/>
      <c r="D216" s="82">
        <f>round(D215*12%,2)</f>
        <v>407.85</v>
      </c>
      <c r="E216" s="96"/>
      <c r="F216" s="80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85" t="s">
        <v>9</v>
      </c>
      <c r="B217" s="31"/>
      <c r="C217" s="32"/>
      <c r="D217" s="86">
        <f>D215-D216</f>
        <v>2990.92</v>
      </c>
      <c r="E217" s="97">
        <v>26377.0</v>
      </c>
      <c r="F217" s="87">
        <f>D217*E217</f>
        <v>78891496.84</v>
      </c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85" t="s">
        <v>26</v>
      </c>
      <c r="B218" s="31"/>
      <c r="C218" s="32"/>
      <c r="D218" s="88"/>
      <c r="E218" s="95"/>
      <c r="F218" s="87">
        <f>round(F217*10%,0)</f>
        <v>7889150</v>
      </c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85" t="s">
        <v>16</v>
      </c>
      <c r="B219" s="31"/>
      <c r="C219" s="32"/>
      <c r="D219" s="88"/>
      <c r="E219" s="95"/>
      <c r="F219" s="87">
        <f>F217+F218</f>
        <v>86780646.84</v>
      </c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98" t="s">
        <v>58</v>
      </c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92"/>
      <c r="B226" s="92"/>
      <c r="C226" s="92"/>
      <c r="D226" s="92"/>
      <c r="E226" s="92"/>
      <c r="F226" s="92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75" t="s">
        <v>4</v>
      </c>
      <c r="B227" s="75" t="s">
        <v>5</v>
      </c>
      <c r="C227" s="75" t="s">
        <v>6</v>
      </c>
      <c r="D227" s="75" t="s">
        <v>7</v>
      </c>
      <c r="E227" s="75" t="s">
        <v>8</v>
      </c>
      <c r="F227" s="75" t="s">
        <v>9</v>
      </c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76">
        <v>1.0</v>
      </c>
      <c r="B228" s="93" t="s">
        <v>53</v>
      </c>
      <c r="C228" s="94">
        <v>46023.0</v>
      </c>
      <c r="D228" s="78">
        <v>3228.08</v>
      </c>
      <c r="E228" s="95"/>
      <c r="F228" s="80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81" t="s">
        <v>32</v>
      </c>
      <c r="B229" s="31"/>
      <c r="C229" s="32"/>
      <c r="D229" s="82">
        <f>round(D228*(1+10%),2)</f>
        <v>3550.89</v>
      </c>
      <c r="E229" s="96"/>
      <c r="F229" s="80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84" t="s">
        <v>34</v>
      </c>
      <c r="B230" s="31"/>
      <c r="C230" s="32"/>
      <c r="D230" s="82">
        <f>round(D229*12%,2)</f>
        <v>426.11</v>
      </c>
      <c r="E230" s="96"/>
      <c r="F230" s="80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85" t="s">
        <v>9</v>
      </c>
      <c r="B231" s="31"/>
      <c r="C231" s="32"/>
      <c r="D231" s="86">
        <f>D229-D230</f>
        <v>3124.78</v>
      </c>
      <c r="E231" s="97">
        <v>26145.0</v>
      </c>
      <c r="F231" s="87">
        <f>D231*E231</f>
        <v>81697373.1</v>
      </c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85" t="s">
        <v>26</v>
      </c>
      <c r="B232" s="31"/>
      <c r="C232" s="32"/>
      <c r="D232" s="88"/>
      <c r="E232" s="95"/>
      <c r="F232" s="87">
        <f>round(F231*10%,0)</f>
        <v>8169737</v>
      </c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85" t="s">
        <v>16</v>
      </c>
      <c r="B233" s="31"/>
      <c r="C233" s="32"/>
      <c r="D233" s="88"/>
      <c r="E233" s="95"/>
      <c r="F233" s="87">
        <f>F231+F232</f>
        <v>89867110.1</v>
      </c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98" t="s">
        <v>58</v>
      </c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92"/>
      <c r="B239" s="92"/>
      <c r="C239" s="92"/>
      <c r="D239" s="92"/>
      <c r="E239" s="92"/>
      <c r="F239" s="92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75" t="s">
        <v>4</v>
      </c>
      <c r="B240" s="75" t="s">
        <v>5</v>
      </c>
      <c r="C240" s="75" t="s">
        <v>6</v>
      </c>
      <c r="D240" s="75" t="s">
        <v>7</v>
      </c>
      <c r="E240" s="75" t="s">
        <v>8</v>
      </c>
      <c r="F240" s="75" t="s">
        <v>9</v>
      </c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76">
        <v>1.0</v>
      </c>
      <c r="B241" s="93" t="s">
        <v>53</v>
      </c>
      <c r="C241" s="94">
        <v>46054.0</v>
      </c>
      <c r="D241" s="78">
        <v>3338.9</v>
      </c>
      <c r="E241" s="95"/>
      <c r="F241" s="80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81" t="s">
        <v>32</v>
      </c>
      <c r="B242" s="31"/>
      <c r="C242" s="32"/>
      <c r="D242" s="82">
        <f>round(D241*(1+10%),2)</f>
        <v>3672.79</v>
      </c>
      <c r="E242" s="96"/>
      <c r="F242" s="80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84" t="s">
        <v>34</v>
      </c>
      <c r="B243" s="31"/>
      <c r="C243" s="32"/>
      <c r="D243" s="82">
        <f>round(D242*12%,2)</f>
        <v>440.73</v>
      </c>
      <c r="E243" s="96"/>
      <c r="F243" s="80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85" t="s">
        <v>9</v>
      </c>
      <c r="B244" s="31"/>
      <c r="C244" s="32"/>
      <c r="D244" s="86">
        <f>D242-D243</f>
        <v>3232.06</v>
      </c>
      <c r="E244" s="97">
        <v>26240.0</v>
      </c>
      <c r="F244" s="87">
        <f>D244*E244</f>
        <v>84809254.4</v>
      </c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85" t="s">
        <v>26</v>
      </c>
      <c r="B245" s="31"/>
      <c r="C245" s="32"/>
      <c r="D245" s="88"/>
      <c r="E245" s="95"/>
      <c r="F245" s="87">
        <f>round(F244*10%,0)</f>
        <v>8480925</v>
      </c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85" t="s">
        <v>16</v>
      </c>
      <c r="B246" s="31"/>
      <c r="C246" s="32"/>
      <c r="D246" s="88"/>
      <c r="E246" s="95"/>
      <c r="F246" s="87">
        <f>F244+F245</f>
        <v>93290179.4</v>
      </c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98" t="s">
        <v>58</v>
      </c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92"/>
      <c r="B253" s="92"/>
      <c r="C253" s="92"/>
      <c r="D253" s="92"/>
      <c r="E253" s="92"/>
      <c r="F253" s="92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75" t="s">
        <v>4</v>
      </c>
      <c r="B254" s="75" t="s">
        <v>5</v>
      </c>
      <c r="C254" s="75" t="s">
        <v>6</v>
      </c>
      <c r="D254" s="75" t="s">
        <v>7</v>
      </c>
      <c r="E254" s="75" t="s">
        <v>8</v>
      </c>
      <c r="F254" s="75" t="s">
        <v>9</v>
      </c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76">
        <v>1.0</v>
      </c>
      <c r="B255" s="93" t="s">
        <v>53</v>
      </c>
      <c r="C255" s="94">
        <v>46082.0</v>
      </c>
      <c r="D255" s="78">
        <v>3806.09</v>
      </c>
      <c r="E255" s="95"/>
      <c r="F255" s="80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81" t="s">
        <v>32</v>
      </c>
      <c r="B256" s="31"/>
      <c r="C256" s="32"/>
      <c r="D256" s="82">
        <f>round(D255*(1+10%),2)</f>
        <v>4186.7</v>
      </c>
      <c r="E256" s="96"/>
      <c r="F256" s="80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84" t="s">
        <v>34</v>
      </c>
      <c r="B257" s="31"/>
      <c r="C257" s="32"/>
      <c r="D257" s="82">
        <f>round(D256*12%,2)</f>
        <v>502.4</v>
      </c>
      <c r="E257" s="96"/>
      <c r="F257" s="80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85" t="s">
        <v>9</v>
      </c>
      <c r="B258" s="31"/>
      <c r="C258" s="32"/>
      <c r="D258" s="86">
        <f>D256-D257</f>
        <v>3684.3</v>
      </c>
      <c r="E258" s="97">
        <v>26357.0</v>
      </c>
      <c r="F258" s="87">
        <f>D258*E258</f>
        <v>97107095.1</v>
      </c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85" t="s">
        <v>26</v>
      </c>
      <c r="B259" s="31"/>
      <c r="C259" s="32"/>
      <c r="D259" s="88"/>
      <c r="E259" s="95"/>
      <c r="F259" s="87">
        <f>round(F258*10%,0)</f>
        <v>9710710</v>
      </c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85" t="s">
        <v>16</v>
      </c>
      <c r="B260" s="31"/>
      <c r="C260" s="32"/>
      <c r="D260" s="88"/>
      <c r="E260" s="95"/>
      <c r="F260" s="87">
        <f>F258+F259</f>
        <v>106817805.1</v>
      </c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98" t="s">
        <v>58</v>
      </c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92"/>
      <c r="B267" s="92"/>
      <c r="C267" s="92"/>
      <c r="D267" s="92"/>
      <c r="E267" s="92"/>
      <c r="F267" s="92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75" t="s">
        <v>4</v>
      </c>
      <c r="B268" s="75" t="s">
        <v>5</v>
      </c>
      <c r="C268" s="75" t="s">
        <v>6</v>
      </c>
      <c r="D268" s="75" t="s">
        <v>7</v>
      </c>
      <c r="E268" s="75" t="s">
        <v>8</v>
      </c>
      <c r="F268" s="75" t="s">
        <v>9</v>
      </c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76">
        <v>1.0</v>
      </c>
      <c r="B269" s="93" t="s">
        <v>53</v>
      </c>
      <c r="C269" s="94">
        <v>46113.0</v>
      </c>
      <c r="D269" s="78">
        <v>3383.89</v>
      </c>
      <c r="E269" s="95"/>
      <c r="F269" s="80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81" t="s">
        <v>32</v>
      </c>
      <c r="B270" s="31"/>
      <c r="C270" s="32"/>
      <c r="D270" s="82">
        <f>round(D269*(1+10%),2)</f>
        <v>3722.28</v>
      </c>
      <c r="E270" s="96"/>
      <c r="F270" s="80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84" t="s">
        <v>34</v>
      </c>
      <c r="B271" s="31"/>
      <c r="C271" s="32"/>
      <c r="D271" s="82">
        <f>round(D270*12%,2)</f>
        <v>446.67</v>
      </c>
      <c r="E271" s="96"/>
      <c r="F271" s="80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85" t="s">
        <v>9</v>
      </c>
      <c r="B272" s="31"/>
      <c r="C272" s="32"/>
      <c r="D272" s="86">
        <f>D270-D271</f>
        <v>3275.61</v>
      </c>
      <c r="E272" s="97">
        <v>26368.0</v>
      </c>
      <c r="F272" s="87">
        <f>D272*E272</f>
        <v>86371284.48</v>
      </c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85" t="s">
        <v>26</v>
      </c>
      <c r="B273" s="31"/>
      <c r="C273" s="32"/>
      <c r="D273" s="88"/>
      <c r="E273" s="95"/>
      <c r="F273" s="87">
        <f>round(F272*10%,0)</f>
        <v>8637128</v>
      </c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85" t="s">
        <v>16</v>
      </c>
      <c r="B274" s="31"/>
      <c r="C274" s="32"/>
      <c r="D274" s="88"/>
      <c r="E274" s="95"/>
      <c r="F274" s="87">
        <f>F272+F273</f>
        <v>95008412.48</v>
      </c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98" t="s">
        <v>58</v>
      </c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92"/>
      <c r="B280" s="92"/>
      <c r="C280" s="92"/>
      <c r="D280" s="92"/>
      <c r="E280" s="92"/>
      <c r="F280" s="92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75" t="s">
        <v>4</v>
      </c>
      <c r="B281" s="75" t="s">
        <v>5</v>
      </c>
      <c r="C281" s="75" t="s">
        <v>6</v>
      </c>
      <c r="D281" s="75" t="s">
        <v>7</v>
      </c>
      <c r="E281" s="75" t="s">
        <v>8</v>
      </c>
      <c r="F281" s="75" t="s">
        <v>9</v>
      </c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76">
        <v>1.0</v>
      </c>
      <c r="B282" s="93" t="s">
        <v>53</v>
      </c>
      <c r="C282" s="94">
        <v>46143.0</v>
      </c>
      <c r="D282" s="78">
        <v>3431.42</v>
      </c>
      <c r="E282" s="95"/>
      <c r="F282" s="80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81" t="s">
        <v>32</v>
      </c>
      <c r="B283" s="31"/>
      <c r="C283" s="32"/>
      <c r="D283" s="82">
        <f>round(D282*(1+10%),2)</f>
        <v>3774.56</v>
      </c>
      <c r="E283" s="96"/>
      <c r="F283" s="80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84" t="s">
        <v>34</v>
      </c>
      <c r="B284" s="31"/>
      <c r="C284" s="32"/>
      <c r="D284" s="82">
        <f>round(D283*12%,2)</f>
        <v>452.95</v>
      </c>
      <c r="E284" s="96"/>
      <c r="F284" s="80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85" t="s">
        <v>9</v>
      </c>
      <c r="B285" s="31"/>
      <c r="C285" s="32"/>
      <c r="D285" s="86">
        <f>D283-D284</f>
        <v>3321.61</v>
      </c>
      <c r="E285" s="97">
        <v>26395.0</v>
      </c>
      <c r="F285" s="87">
        <f>D285*E285</f>
        <v>87673895.95</v>
      </c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85" t="s">
        <v>26</v>
      </c>
      <c r="B286" s="31"/>
      <c r="C286" s="32"/>
      <c r="D286" s="88"/>
      <c r="E286" s="95"/>
      <c r="F286" s="87">
        <f>round(F285*10%,0)</f>
        <v>8767390</v>
      </c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85" t="s">
        <v>16</v>
      </c>
      <c r="B287" s="31"/>
      <c r="C287" s="32"/>
      <c r="D287" s="88"/>
      <c r="E287" s="95"/>
      <c r="F287" s="87">
        <f>F285+F286</f>
        <v>96441285.95</v>
      </c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98" t="s">
        <v>58</v>
      </c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92"/>
      <c r="B293" s="92"/>
      <c r="C293" s="92"/>
      <c r="D293" s="92"/>
      <c r="E293" s="92"/>
      <c r="F293" s="92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75" t="s">
        <v>4</v>
      </c>
      <c r="B294" s="75" t="s">
        <v>5</v>
      </c>
      <c r="C294" s="75" t="s">
        <v>6</v>
      </c>
      <c r="D294" s="75" t="s">
        <v>7</v>
      </c>
      <c r="E294" s="75" t="s">
        <v>8</v>
      </c>
      <c r="F294" s="75" t="s">
        <v>9</v>
      </c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76">
        <v>1.0</v>
      </c>
      <c r="B295" s="93" t="s">
        <v>53</v>
      </c>
      <c r="C295" s="94">
        <v>46174.0</v>
      </c>
      <c r="D295" s="78">
        <v>3460.83</v>
      </c>
      <c r="E295" s="95"/>
      <c r="F295" s="80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81" t="s">
        <v>32</v>
      </c>
      <c r="B296" s="31"/>
      <c r="C296" s="32"/>
      <c r="D296" s="82">
        <f>round(D295*(1+10%),2)</f>
        <v>3806.91</v>
      </c>
      <c r="E296" s="96"/>
      <c r="F296" s="80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84" t="s">
        <v>34</v>
      </c>
      <c r="B297" s="31"/>
      <c r="C297" s="32"/>
      <c r="D297" s="82">
        <f>round(D296*12%,2)</f>
        <v>456.83</v>
      </c>
      <c r="E297" s="96"/>
      <c r="F297" s="80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85" t="s">
        <v>9</v>
      </c>
      <c r="B298" s="31"/>
      <c r="C298" s="32"/>
      <c r="D298" s="86">
        <f>D296-D297</f>
        <v>3350.08</v>
      </c>
      <c r="E298" s="97">
        <v>26466.0</v>
      </c>
      <c r="F298" s="87">
        <f>D298*E298</f>
        <v>88663217.28</v>
      </c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85" t="s">
        <v>26</v>
      </c>
      <c r="B299" s="31"/>
      <c r="C299" s="32"/>
      <c r="D299" s="88"/>
      <c r="E299" s="95"/>
      <c r="F299" s="87">
        <f>round(F298*10%,0)</f>
        <v>8866322</v>
      </c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85" t="s">
        <v>16</v>
      </c>
      <c r="B300" s="31"/>
      <c r="C300" s="32"/>
      <c r="D300" s="88"/>
      <c r="E300" s="95"/>
      <c r="F300" s="87">
        <f>F298+F299</f>
        <v>97529539.28</v>
      </c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98" t="s">
        <v>58</v>
      </c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92"/>
      <c r="B306" s="92"/>
      <c r="C306" s="92"/>
      <c r="D306" s="92"/>
      <c r="E306" s="92"/>
      <c r="F306" s="92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75" t="s">
        <v>4</v>
      </c>
      <c r="B307" s="75" t="s">
        <v>5</v>
      </c>
      <c r="C307" s="75" t="s">
        <v>6</v>
      </c>
      <c r="D307" s="75" t="s">
        <v>7</v>
      </c>
      <c r="E307" s="75" t="s">
        <v>8</v>
      </c>
      <c r="F307" s="75" t="s">
        <v>9</v>
      </c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76">
        <v>1.0</v>
      </c>
      <c r="B308" s="93" t="s">
        <v>53</v>
      </c>
      <c r="C308" s="94">
        <v>46204.0</v>
      </c>
      <c r="D308" s="78">
        <v>3586.15</v>
      </c>
      <c r="E308" s="95"/>
      <c r="F308" s="80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81" t="s">
        <v>32</v>
      </c>
      <c r="B309" s="31"/>
      <c r="C309" s="32"/>
      <c r="D309" s="82">
        <f>round(D308*(1+10%),2)</f>
        <v>3944.77</v>
      </c>
      <c r="E309" s="96"/>
      <c r="F309" s="80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84" t="s">
        <v>34</v>
      </c>
      <c r="B310" s="31"/>
      <c r="C310" s="32"/>
      <c r="D310" s="82">
        <f>round(D309*12%,2)</f>
        <v>473.37</v>
      </c>
      <c r="E310" s="96"/>
      <c r="F310" s="80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85" t="s">
        <v>9</v>
      </c>
      <c r="B311" s="31"/>
      <c r="C311" s="32"/>
      <c r="D311" s="86">
        <f>D309-D310</f>
        <v>3471.4</v>
      </c>
      <c r="E311" s="97">
        <v>26475.0</v>
      </c>
      <c r="F311" s="87">
        <f>D311*E311</f>
        <v>91905315</v>
      </c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85" t="s">
        <v>26</v>
      </c>
      <c r="B312" s="31"/>
      <c r="C312" s="32"/>
      <c r="D312" s="88"/>
      <c r="E312" s="95"/>
      <c r="F312" s="87">
        <f>round(F311*10%,0)</f>
        <v>9190532</v>
      </c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85" t="s">
        <v>16</v>
      </c>
      <c r="B313" s="31"/>
      <c r="C313" s="32"/>
      <c r="D313" s="88"/>
      <c r="E313" s="95"/>
      <c r="F313" s="87">
        <f>F311+F312</f>
        <v>101095847</v>
      </c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</sheetData>
  <mergeCells count="150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6:F26"/>
    <mergeCell ref="A30:C30"/>
    <mergeCell ref="A31:C31"/>
    <mergeCell ref="A32:C32"/>
    <mergeCell ref="A33:C33"/>
    <mergeCell ref="A34:C34"/>
    <mergeCell ref="A38:F38"/>
    <mergeCell ref="A42:C42"/>
    <mergeCell ref="A43:C43"/>
    <mergeCell ref="A44:C44"/>
    <mergeCell ref="A45:C45"/>
    <mergeCell ref="A46:C46"/>
    <mergeCell ref="A50:F50"/>
    <mergeCell ref="A54:C54"/>
    <mergeCell ref="A55:C55"/>
    <mergeCell ref="A56:C56"/>
    <mergeCell ref="A57:C57"/>
    <mergeCell ref="A58:C58"/>
    <mergeCell ref="A62:F62"/>
    <mergeCell ref="A66:C66"/>
    <mergeCell ref="A67:C67"/>
    <mergeCell ref="A68:C68"/>
    <mergeCell ref="A69:C69"/>
    <mergeCell ref="A70:C70"/>
    <mergeCell ref="A74:F74"/>
    <mergeCell ref="A78:C78"/>
    <mergeCell ref="A79:C79"/>
    <mergeCell ref="A80:C80"/>
    <mergeCell ref="A81:C81"/>
    <mergeCell ref="A82:C82"/>
    <mergeCell ref="A86:F86"/>
    <mergeCell ref="A90:C90"/>
    <mergeCell ref="A91:C91"/>
    <mergeCell ref="A92:C92"/>
    <mergeCell ref="A93:C93"/>
    <mergeCell ref="A94:C94"/>
    <mergeCell ref="A98:F98"/>
    <mergeCell ref="A188:C188"/>
    <mergeCell ref="A189:C189"/>
    <mergeCell ref="A190:C190"/>
    <mergeCell ref="A191:C191"/>
    <mergeCell ref="A192:C192"/>
    <mergeCell ref="A197:F197"/>
    <mergeCell ref="A201:C201"/>
    <mergeCell ref="A202:C202"/>
    <mergeCell ref="A203:C203"/>
    <mergeCell ref="A204:C204"/>
    <mergeCell ref="A205:C205"/>
    <mergeCell ref="A211:F211"/>
    <mergeCell ref="A215:C215"/>
    <mergeCell ref="A216:C216"/>
    <mergeCell ref="A232:C232"/>
    <mergeCell ref="A233:C233"/>
    <mergeCell ref="A238:F238"/>
    <mergeCell ref="A242:C242"/>
    <mergeCell ref="A243:C243"/>
    <mergeCell ref="A244:C244"/>
    <mergeCell ref="A245:C245"/>
    <mergeCell ref="A246:C246"/>
    <mergeCell ref="A252:F252"/>
    <mergeCell ref="A256:C256"/>
    <mergeCell ref="A257:C257"/>
    <mergeCell ref="A258:C258"/>
    <mergeCell ref="A259:C259"/>
    <mergeCell ref="A260:C260"/>
    <mergeCell ref="A266:F266"/>
    <mergeCell ref="A270:C270"/>
    <mergeCell ref="A271:C271"/>
    <mergeCell ref="A272:C272"/>
    <mergeCell ref="A273:C273"/>
    <mergeCell ref="A274:C274"/>
    <mergeCell ref="A279:F279"/>
    <mergeCell ref="A283:C283"/>
    <mergeCell ref="A284:C284"/>
    <mergeCell ref="A285:C285"/>
    <mergeCell ref="A286:C286"/>
    <mergeCell ref="A287:C287"/>
    <mergeCell ref="A292:F292"/>
    <mergeCell ref="A296:C296"/>
    <mergeCell ref="A311:C311"/>
    <mergeCell ref="A312:C312"/>
    <mergeCell ref="A313:C313"/>
    <mergeCell ref="A297:C297"/>
    <mergeCell ref="A298:C298"/>
    <mergeCell ref="A299:C299"/>
    <mergeCell ref="A300:C300"/>
    <mergeCell ref="A305:F305"/>
    <mergeCell ref="A309:C309"/>
    <mergeCell ref="A310:C310"/>
    <mergeCell ref="A102:C102"/>
    <mergeCell ref="A103:C103"/>
    <mergeCell ref="A104:C104"/>
    <mergeCell ref="A105:C105"/>
    <mergeCell ref="A106:C106"/>
    <mergeCell ref="A110:F110"/>
    <mergeCell ref="A114:C114"/>
    <mergeCell ref="A115:C115"/>
    <mergeCell ref="A116:C116"/>
    <mergeCell ref="A117:C117"/>
    <mergeCell ref="A118:C118"/>
    <mergeCell ref="A122:F122"/>
    <mergeCell ref="A126:C126"/>
    <mergeCell ref="A127:C127"/>
    <mergeCell ref="A128:C128"/>
    <mergeCell ref="A129:C129"/>
    <mergeCell ref="A130:C130"/>
    <mergeCell ref="A134:F134"/>
    <mergeCell ref="A138:C138"/>
    <mergeCell ref="A139:C139"/>
    <mergeCell ref="A140:C140"/>
    <mergeCell ref="A141:C141"/>
    <mergeCell ref="A142:C142"/>
    <mergeCell ref="A146:F146"/>
    <mergeCell ref="A150:C150"/>
    <mergeCell ref="A151:C151"/>
    <mergeCell ref="A152:C152"/>
    <mergeCell ref="A153:C153"/>
    <mergeCell ref="A154:C154"/>
    <mergeCell ref="A158:F158"/>
    <mergeCell ref="A162:C162"/>
    <mergeCell ref="A163:C163"/>
    <mergeCell ref="A164:C164"/>
    <mergeCell ref="A165:C165"/>
    <mergeCell ref="A166:C166"/>
    <mergeCell ref="A171:F171"/>
    <mergeCell ref="A175:C175"/>
    <mergeCell ref="A176:C176"/>
    <mergeCell ref="A177:C177"/>
    <mergeCell ref="A178:C178"/>
    <mergeCell ref="A179:C179"/>
    <mergeCell ref="A184:F184"/>
    <mergeCell ref="A217:C217"/>
    <mergeCell ref="A218:C218"/>
    <mergeCell ref="A219:C219"/>
    <mergeCell ref="A225:F225"/>
    <mergeCell ref="A229:C229"/>
    <mergeCell ref="A230:C230"/>
    <mergeCell ref="A231:C23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58.63"/>
    <col customWidth="1" min="3" max="3" width="14.88"/>
    <col customWidth="1" min="4" max="4" width="23.88"/>
    <col customWidth="1" min="5" max="5" width="13.38"/>
    <col customWidth="1" min="6" max="6" width="22.63"/>
  </cols>
  <sheetData>
    <row r="1">
      <c r="A1" s="52" t="s">
        <v>54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53"/>
      <c r="B2" s="53"/>
      <c r="C2" s="53"/>
      <c r="D2" s="53"/>
      <c r="E2" s="53"/>
      <c r="F2" s="53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13">
        <v>1.0</v>
      </c>
      <c r="B4" s="54" t="s">
        <v>55</v>
      </c>
      <c r="C4" s="55">
        <v>45536.0</v>
      </c>
      <c r="D4" s="22">
        <v>739.62</v>
      </c>
      <c r="E4" s="56"/>
      <c r="F4" s="28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30" t="s">
        <v>21</v>
      </c>
      <c r="B5" s="31"/>
      <c r="C5" s="32"/>
      <c r="D5" s="24">
        <f>round(D4*(1+5.26%),2)</f>
        <v>778.52</v>
      </c>
      <c r="E5" s="57"/>
      <c r="F5" s="28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30" t="s">
        <v>34</v>
      </c>
      <c r="B6" s="31"/>
      <c r="C6" s="32"/>
      <c r="D6" s="24">
        <f>round(D5*12%,2)</f>
        <v>93.42</v>
      </c>
      <c r="E6" s="57"/>
      <c r="F6" s="28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33" t="s">
        <v>9</v>
      </c>
      <c r="B7" s="31"/>
      <c r="C7" s="32"/>
      <c r="D7" s="39">
        <f>D5-D6</f>
        <v>685.1</v>
      </c>
      <c r="E7" s="90">
        <v>24733.0</v>
      </c>
      <c r="F7" s="41">
        <f>D7*E7</f>
        <v>16944578.3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33" t="s">
        <v>26</v>
      </c>
      <c r="B8" s="31"/>
      <c r="C8" s="32"/>
      <c r="D8" s="39"/>
      <c r="E8" s="90"/>
      <c r="F8" s="41">
        <f>round(F7*10%,0)</f>
        <v>1694458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33" t="s">
        <v>16</v>
      </c>
      <c r="B9" s="31"/>
      <c r="C9" s="32"/>
      <c r="D9" s="39"/>
      <c r="E9" s="90"/>
      <c r="F9" s="41">
        <f>F7+F8</f>
        <v>18639036.3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52" t="s">
        <v>54</v>
      </c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53"/>
      <c r="B15" s="53"/>
      <c r="C15" s="53"/>
      <c r="D15" s="53"/>
      <c r="E15" s="53"/>
      <c r="F15" s="53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9" t="s">
        <v>4</v>
      </c>
      <c r="B16" s="9" t="s">
        <v>5</v>
      </c>
      <c r="C16" s="9" t="s">
        <v>6</v>
      </c>
      <c r="D16" s="9" t="s">
        <v>7</v>
      </c>
      <c r="E16" s="9" t="s">
        <v>8</v>
      </c>
      <c r="F16" s="9" t="s">
        <v>9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13">
        <v>1.0</v>
      </c>
      <c r="B17" s="54" t="s">
        <v>55</v>
      </c>
      <c r="C17" s="55">
        <v>45566.0</v>
      </c>
      <c r="D17" s="22">
        <v>732.28</v>
      </c>
      <c r="E17" s="56"/>
      <c r="F17" s="28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30" t="s">
        <v>21</v>
      </c>
      <c r="B18" s="31"/>
      <c r="C18" s="32"/>
      <c r="D18" s="24">
        <f>round(D17*(1+5.26%),2)</f>
        <v>770.8</v>
      </c>
      <c r="E18" s="57"/>
      <c r="F18" s="28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30" t="s">
        <v>34</v>
      </c>
      <c r="B19" s="31"/>
      <c r="C19" s="32"/>
      <c r="D19" s="24">
        <f>round(D18*12%,2)</f>
        <v>92.5</v>
      </c>
      <c r="E19" s="57"/>
      <c r="F19" s="28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33" t="s">
        <v>9</v>
      </c>
      <c r="B20" s="31"/>
      <c r="C20" s="32"/>
      <c r="D20" s="39">
        <f>D18-D19</f>
        <v>678.3</v>
      </c>
      <c r="E20" s="90">
        <v>25445.0</v>
      </c>
      <c r="F20" s="41">
        <f>D20*E20</f>
        <v>17259343.5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33" t="s">
        <v>26</v>
      </c>
      <c r="B21" s="31"/>
      <c r="C21" s="32"/>
      <c r="D21" s="39"/>
      <c r="E21" s="90"/>
      <c r="F21" s="41">
        <f>round(F20*10%,0)</f>
        <v>1725934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33" t="s">
        <v>16</v>
      </c>
      <c r="B22" s="31"/>
      <c r="C22" s="32"/>
      <c r="D22" s="39"/>
      <c r="E22" s="90"/>
      <c r="F22" s="41">
        <f>F20+F21</f>
        <v>18985277.5</v>
      </c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52" t="s">
        <v>54</v>
      </c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53"/>
      <c r="B27" s="53"/>
      <c r="C27" s="53"/>
      <c r="D27" s="53"/>
      <c r="E27" s="53"/>
      <c r="F27" s="53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9" t="s">
        <v>4</v>
      </c>
      <c r="B28" s="9" t="s">
        <v>5</v>
      </c>
      <c r="C28" s="9" t="s">
        <v>6</v>
      </c>
      <c r="D28" s="9" t="s">
        <v>7</v>
      </c>
      <c r="E28" s="9" t="s">
        <v>8</v>
      </c>
      <c r="F28" s="9" t="s">
        <v>9</v>
      </c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13">
        <v>1.0</v>
      </c>
      <c r="B29" s="54" t="s">
        <v>55</v>
      </c>
      <c r="C29" s="55">
        <v>45597.0</v>
      </c>
      <c r="D29" s="22">
        <v>732.28</v>
      </c>
      <c r="E29" s="56"/>
      <c r="F29" s="28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30" t="s">
        <v>21</v>
      </c>
      <c r="B30" s="31"/>
      <c r="C30" s="32"/>
      <c r="D30" s="24">
        <f>round(D29*(1+5.26%),2)</f>
        <v>770.8</v>
      </c>
      <c r="E30" s="57"/>
      <c r="F30" s="2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30" t="s">
        <v>34</v>
      </c>
      <c r="B31" s="31"/>
      <c r="C31" s="32"/>
      <c r="D31" s="24">
        <f>round(D30*12%,2)</f>
        <v>92.5</v>
      </c>
      <c r="E31" s="57"/>
      <c r="F31" s="28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33" t="s">
        <v>9</v>
      </c>
      <c r="B32" s="31"/>
      <c r="C32" s="32"/>
      <c r="D32" s="39">
        <f>D30-D31</f>
        <v>678.3</v>
      </c>
      <c r="E32" s="90">
        <v>25463.0</v>
      </c>
      <c r="F32" s="41">
        <f>D32*E32</f>
        <v>17271552.9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33" t="s">
        <v>26</v>
      </c>
      <c r="B33" s="31"/>
      <c r="C33" s="32"/>
      <c r="D33" s="39"/>
      <c r="E33" s="90"/>
      <c r="F33" s="41">
        <f>round(F32*10%,0)</f>
        <v>1727155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33" t="s">
        <v>16</v>
      </c>
      <c r="B34" s="31"/>
      <c r="C34" s="32"/>
      <c r="D34" s="39"/>
      <c r="E34" s="90"/>
      <c r="F34" s="41">
        <f>F32+F33</f>
        <v>18998707.9</v>
      </c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52" t="s">
        <v>57</v>
      </c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53"/>
      <c r="B39" s="53"/>
      <c r="C39" s="53"/>
      <c r="D39" s="53"/>
      <c r="E39" s="53"/>
      <c r="F39" s="53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9" t="s">
        <v>4</v>
      </c>
      <c r="B40" s="9" t="s">
        <v>5</v>
      </c>
      <c r="C40" s="9" t="s">
        <v>6</v>
      </c>
      <c r="D40" s="9" t="s">
        <v>7</v>
      </c>
      <c r="E40" s="9" t="s">
        <v>8</v>
      </c>
      <c r="F40" s="9" t="s">
        <v>9</v>
      </c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13">
        <v>1.0</v>
      </c>
      <c r="B41" s="54" t="s">
        <v>55</v>
      </c>
      <c r="C41" s="55">
        <v>45627.0</v>
      </c>
      <c r="D41" s="22">
        <v>732.28</v>
      </c>
      <c r="E41" s="56"/>
      <c r="F41" s="28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30" t="s">
        <v>21</v>
      </c>
      <c r="B42" s="31"/>
      <c r="C42" s="32"/>
      <c r="D42" s="24">
        <f>round(D41*(1+5.26%),2)</f>
        <v>770.8</v>
      </c>
      <c r="E42" s="57"/>
      <c r="F42" s="28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30" t="s">
        <v>34</v>
      </c>
      <c r="B43" s="31"/>
      <c r="C43" s="32"/>
      <c r="D43" s="24">
        <f>round(D42*12%,2)</f>
        <v>92.5</v>
      </c>
      <c r="E43" s="57"/>
      <c r="F43" s="28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33" t="s">
        <v>9</v>
      </c>
      <c r="B44" s="31"/>
      <c r="C44" s="32"/>
      <c r="D44" s="39">
        <f>D42-D43</f>
        <v>678.3</v>
      </c>
      <c r="E44" s="90">
        <v>25551.0</v>
      </c>
      <c r="F44" s="41">
        <f>D44*E44</f>
        <v>17331243.3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33" t="s">
        <v>26</v>
      </c>
      <c r="B45" s="31"/>
      <c r="C45" s="32"/>
      <c r="D45" s="39"/>
      <c r="E45" s="90"/>
      <c r="F45" s="41">
        <f>round(F44*10%,0)</f>
        <v>1733124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33" t="s">
        <v>16</v>
      </c>
      <c r="B46" s="31"/>
      <c r="C46" s="32"/>
      <c r="D46" s="39"/>
      <c r="E46" s="90"/>
      <c r="F46" s="41">
        <f>F44+F45</f>
        <v>19064367.3</v>
      </c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52" t="s">
        <v>57</v>
      </c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53"/>
      <c r="B51" s="53"/>
      <c r="C51" s="53"/>
      <c r="D51" s="53"/>
      <c r="E51" s="53"/>
      <c r="F51" s="53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9" t="s">
        <v>4</v>
      </c>
      <c r="B52" s="9" t="s">
        <v>5</v>
      </c>
      <c r="C52" s="9" t="s">
        <v>6</v>
      </c>
      <c r="D52" s="9" t="s">
        <v>7</v>
      </c>
      <c r="E52" s="9" t="s">
        <v>8</v>
      </c>
      <c r="F52" s="9" t="s">
        <v>9</v>
      </c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13">
        <v>1.0</v>
      </c>
      <c r="B53" s="54" t="s">
        <v>55</v>
      </c>
      <c r="C53" s="55">
        <v>45658.0</v>
      </c>
      <c r="D53" s="22">
        <v>803.48</v>
      </c>
      <c r="E53" s="56"/>
      <c r="F53" s="28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30" t="s">
        <v>21</v>
      </c>
      <c r="B54" s="31"/>
      <c r="C54" s="32"/>
      <c r="D54" s="24">
        <f>round(D53*(1+5.26%),2)</f>
        <v>845.74</v>
      </c>
      <c r="E54" s="57"/>
      <c r="F54" s="28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30" t="s">
        <v>34</v>
      </c>
      <c r="B55" s="31"/>
      <c r="C55" s="32"/>
      <c r="D55" s="24">
        <f>round(D54*12%,2)</f>
        <v>101.49</v>
      </c>
      <c r="E55" s="57"/>
      <c r="F55" s="28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33" t="s">
        <v>9</v>
      </c>
      <c r="B56" s="31"/>
      <c r="C56" s="32"/>
      <c r="D56" s="39">
        <f>D54-D55</f>
        <v>744.25</v>
      </c>
      <c r="E56" s="90">
        <v>25295.0</v>
      </c>
      <c r="F56" s="41">
        <f>D56*E56</f>
        <v>18825803.75</v>
      </c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33" t="s">
        <v>26</v>
      </c>
      <c r="B57" s="31"/>
      <c r="C57" s="32"/>
      <c r="D57" s="39"/>
      <c r="E57" s="90"/>
      <c r="F57" s="41">
        <f>round(F56*10%,0)</f>
        <v>1882580</v>
      </c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33" t="s">
        <v>16</v>
      </c>
      <c r="B58" s="31"/>
      <c r="C58" s="32"/>
      <c r="D58" s="39"/>
      <c r="E58" s="90"/>
      <c r="F58" s="41">
        <f>F56+F57</f>
        <v>20708383.75</v>
      </c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52" t="s">
        <v>57</v>
      </c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53"/>
      <c r="B63" s="53"/>
      <c r="C63" s="53"/>
      <c r="D63" s="53"/>
      <c r="E63" s="53"/>
      <c r="F63" s="53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9" t="s">
        <v>4</v>
      </c>
      <c r="B64" s="9" t="s">
        <v>5</v>
      </c>
      <c r="C64" s="9" t="s">
        <v>6</v>
      </c>
      <c r="D64" s="9" t="s">
        <v>7</v>
      </c>
      <c r="E64" s="9" t="s">
        <v>8</v>
      </c>
      <c r="F64" s="9" t="s">
        <v>9</v>
      </c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13">
        <v>1.0</v>
      </c>
      <c r="B65" s="54" t="s">
        <v>55</v>
      </c>
      <c r="C65" s="55">
        <v>45689.0</v>
      </c>
      <c r="D65" s="22">
        <v>829.02</v>
      </c>
      <c r="E65" s="56"/>
      <c r="F65" s="28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30" t="s">
        <v>21</v>
      </c>
      <c r="B66" s="31"/>
      <c r="C66" s="32"/>
      <c r="D66" s="24">
        <f>round(D65*(1+5.26%),2)</f>
        <v>872.63</v>
      </c>
      <c r="E66" s="57"/>
      <c r="F66" s="28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30" t="s">
        <v>34</v>
      </c>
      <c r="B67" s="31"/>
      <c r="C67" s="32"/>
      <c r="D67" s="24">
        <f>round(D66*12%,2)</f>
        <v>104.72</v>
      </c>
      <c r="E67" s="57"/>
      <c r="F67" s="28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33" t="s">
        <v>9</v>
      </c>
      <c r="B68" s="31"/>
      <c r="C68" s="32"/>
      <c r="D68" s="39">
        <f>D66-D67</f>
        <v>767.91</v>
      </c>
      <c r="E68" s="90">
        <v>25735.0</v>
      </c>
      <c r="F68" s="41">
        <f>D68*E68</f>
        <v>19762163.85</v>
      </c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33" t="s">
        <v>26</v>
      </c>
      <c r="B69" s="31"/>
      <c r="C69" s="32"/>
      <c r="D69" s="39"/>
      <c r="E69" s="90"/>
      <c r="F69" s="41">
        <f>round(F68*10%,0)</f>
        <v>1976216</v>
      </c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33" t="s">
        <v>16</v>
      </c>
      <c r="B70" s="31"/>
      <c r="C70" s="32"/>
      <c r="D70" s="39"/>
      <c r="E70" s="90"/>
      <c r="F70" s="41">
        <f>F68+F69</f>
        <v>21738379.85</v>
      </c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52" t="s">
        <v>57</v>
      </c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53"/>
      <c r="B75" s="53"/>
      <c r="C75" s="53"/>
      <c r="D75" s="53"/>
      <c r="E75" s="53"/>
      <c r="F75" s="53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9" t="s">
        <v>4</v>
      </c>
      <c r="B76" s="9" t="s">
        <v>5</v>
      </c>
      <c r="C76" s="9" t="s">
        <v>6</v>
      </c>
      <c r="D76" s="9" t="s">
        <v>7</v>
      </c>
      <c r="E76" s="9" t="s">
        <v>8</v>
      </c>
      <c r="F76" s="9" t="s">
        <v>9</v>
      </c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13">
        <v>1.0</v>
      </c>
      <c r="B77" s="54" t="s">
        <v>55</v>
      </c>
      <c r="C77" s="55">
        <v>45717.0</v>
      </c>
      <c r="D77" s="22">
        <v>829.02</v>
      </c>
      <c r="E77" s="56"/>
      <c r="F77" s="28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30" t="s">
        <v>21</v>
      </c>
      <c r="B78" s="31"/>
      <c r="C78" s="32"/>
      <c r="D78" s="24">
        <f>round(D77*(1+5.26%),2)</f>
        <v>872.63</v>
      </c>
      <c r="E78" s="57"/>
      <c r="F78" s="28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30" t="s">
        <v>34</v>
      </c>
      <c r="B79" s="31"/>
      <c r="C79" s="32"/>
      <c r="D79" s="24">
        <f>round(D78*12%,2)</f>
        <v>104.72</v>
      </c>
      <c r="E79" s="57"/>
      <c r="F79" s="28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33" t="s">
        <v>9</v>
      </c>
      <c r="B80" s="31"/>
      <c r="C80" s="32"/>
      <c r="D80" s="39">
        <f>D78-D79</f>
        <v>767.91</v>
      </c>
      <c r="E80" s="90">
        <v>25775.0</v>
      </c>
      <c r="F80" s="41">
        <f>D80*E80</f>
        <v>19792880.25</v>
      </c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33" t="s">
        <v>26</v>
      </c>
      <c r="B81" s="31"/>
      <c r="C81" s="32"/>
      <c r="D81" s="39"/>
      <c r="E81" s="90"/>
      <c r="F81" s="41">
        <f>round(F80*10%,0)</f>
        <v>1979288</v>
      </c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33" t="s">
        <v>16</v>
      </c>
      <c r="B82" s="31"/>
      <c r="C82" s="32"/>
      <c r="D82" s="39"/>
      <c r="E82" s="90"/>
      <c r="F82" s="41">
        <f>F80+F81</f>
        <v>21772168.25</v>
      </c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52" t="s">
        <v>57</v>
      </c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53"/>
      <c r="B87" s="53"/>
      <c r="C87" s="53"/>
      <c r="D87" s="53"/>
      <c r="E87" s="53"/>
      <c r="F87" s="53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9" t="s">
        <v>4</v>
      </c>
      <c r="B88" s="9" t="s">
        <v>5</v>
      </c>
      <c r="C88" s="9" t="s">
        <v>6</v>
      </c>
      <c r="D88" s="9" t="s">
        <v>7</v>
      </c>
      <c r="E88" s="9" t="s">
        <v>8</v>
      </c>
      <c r="F88" s="9" t="s">
        <v>9</v>
      </c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13">
        <v>1.0</v>
      </c>
      <c r="B89" s="54" t="s">
        <v>55</v>
      </c>
      <c r="C89" s="55">
        <v>45748.0</v>
      </c>
      <c r="D89" s="22">
        <v>829.02</v>
      </c>
      <c r="E89" s="56"/>
      <c r="F89" s="28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30" t="s">
        <v>21</v>
      </c>
      <c r="B90" s="31"/>
      <c r="C90" s="32"/>
      <c r="D90" s="24">
        <f>round(D89*(1+5.26%),2)</f>
        <v>872.63</v>
      </c>
      <c r="E90" s="57"/>
      <c r="F90" s="28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30" t="s">
        <v>34</v>
      </c>
      <c r="B91" s="31"/>
      <c r="C91" s="32"/>
      <c r="D91" s="24">
        <f>round(D90*12%,2)</f>
        <v>104.72</v>
      </c>
      <c r="E91" s="57"/>
      <c r="F91" s="28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33" t="s">
        <v>9</v>
      </c>
      <c r="B92" s="31"/>
      <c r="C92" s="32"/>
      <c r="D92" s="39">
        <f>D90-D91</f>
        <v>767.91</v>
      </c>
      <c r="E92" s="90">
        <v>26190.0</v>
      </c>
      <c r="F92" s="41">
        <f>D92*E92</f>
        <v>20111562.9</v>
      </c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33" t="s">
        <v>26</v>
      </c>
      <c r="B93" s="31"/>
      <c r="C93" s="32"/>
      <c r="D93" s="39"/>
      <c r="E93" s="90"/>
      <c r="F93" s="41">
        <f>round(F92*10%,0)</f>
        <v>2011156</v>
      </c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33" t="s">
        <v>16</v>
      </c>
      <c r="B94" s="31"/>
      <c r="C94" s="32"/>
      <c r="D94" s="39"/>
      <c r="E94" s="90"/>
      <c r="F94" s="41">
        <f>F92+F93</f>
        <v>22122718.9</v>
      </c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52" t="s">
        <v>57</v>
      </c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53"/>
      <c r="B99" s="53"/>
      <c r="C99" s="53"/>
      <c r="D99" s="53"/>
      <c r="E99" s="53"/>
      <c r="F99" s="53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9" t="s">
        <v>4</v>
      </c>
      <c r="B100" s="9" t="s">
        <v>5</v>
      </c>
      <c r="C100" s="9" t="s">
        <v>6</v>
      </c>
      <c r="D100" s="9" t="s">
        <v>7</v>
      </c>
      <c r="E100" s="9" t="s">
        <v>8</v>
      </c>
      <c r="F100" s="9" t="s">
        <v>9</v>
      </c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13">
        <v>1.0</v>
      </c>
      <c r="B101" s="54" t="s">
        <v>55</v>
      </c>
      <c r="C101" s="55">
        <v>45778.0</v>
      </c>
      <c r="D101" s="22">
        <v>829.02</v>
      </c>
      <c r="E101" s="56"/>
      <c r="F101" s="28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30" t="s">
        <v>21</v>
      </c>
      <c r="B102" s="31"/>
      <c r="C102" s="32"/>
      <c r="D102" s="24">
        <f>round(D101*(1+5.26%),2)</f>
        <v>872.63</v>
      </c>
      <c r="E102" s="57"/>
      <c r="F102" s="28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30" t="s">
        <v>34</v>
      </c>
      <c r="B103" s="31"/>
      <c r="C103" s="32"/>
      <c r="D103" s="24">
        <f>round(D102*12%,2)</f>
        <v>104.72</v>
      </c>
      <c r="E103" s="57"/>
      <c r="F103" s="28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33" t="s">
        <v>9</v>
      </c>
      <c r="B104" s="31"/>
      <c r="C104" s="32"/>
      <c r="D104" s="39">
        <f>D102-D103</f>
        <v>767.91</v>
      </c>
      <c r="E104" s="90">
        <v>26225.0</v>
      </c>
      <c r="F104" s="41">
        <f>D104*E104</f>
        <v>20138439.75</v>
      </c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33" t="s">
        <v>26</v>
      </c>
      <c r="B105" s="31"/>
      <c r="C105" s="32"/>
      <c r="D105" s="39"/>
      <c r="E105" s="90"/>
      <c r="F105" s="41">
        <f>round(F104*10%,0)</f>
        <v>2013844</v>
      </c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33" t="s">
        <v>16</v>
      </c>
      <c r="B106" s="31"/>
      <c r="C106" s="32"/>
      <c r="D106" s="39"/>
      <c r="E106" s="90"/>
      <c r="F106" s="41">
        <f>F104+F105</f>
        <v>22152283.75</v>
      </c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52" t="s">
        <v>57</v>
      </c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53"/>
      <c r="B111" s="53"/>
      <c r="C111" s="53"/>
      <c r="D111" s="53"/>
      <c r="E111" s="53"/>
      <c r="F111" s="53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9" t="s">
        <v>4</v>
      </c>
      <c r="B112" s="9" t="s">
        <v>5</v>
      </c>
      <c r="C112" s="9" t="s">
        <v>6</v>
      </c>
      <c r="D112" s="9" t="s">
        <v>7</v>
      </c>
      <c r="E112" s="9" t="s">
        <v>8</v>
      </c>
      <c r="F112" s="9" t="s">
        <v>9</v>
      </c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13">
        <v>1.0</v>
      </c>
      <c r="B113" s="54" t="s">
        <v>55</v>
      </c>
      <c r="C113" s="55">
        <v>45809.0</v>
      </c>
      <c r="D113" s="22">
        <v>829.02</v>
      </c>
      <c r="E113" s="56"/>
      <c r="F113" s="28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30" t="s">
        <v>21</v>
      </c>
      <c r="B114" s="31"/>
      <c r="C114" s="32"/>
      <c r="D114" s="24">
        <f>round(D113*(1+5.26%),2)</f>
        <v>872.63</v>
      </c>
      <c r="E114" s="57"/>
      <c r="F114" s="28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30" t="s">
        <v>34</v>
      </c>
      <c r="B115" s="31"/>
      <c r="C115" s="32"/>
      <c r="D115" s="24">
        <f>round(D114*12%,2)</f>
        <v>104.72</v>
      </c>
      <c r="E115" s="57"/>
      <c r="F115" s="28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33" t="s">
        <v>9</v>
      </c>
      <c r="B116" s="31"/>
      <c r="C116" s="32"/>
      <c r="D116" s="39">
        <f>D114-D115</f>
        <v>767.91</v>
      </c>
      <c r="E116" s="90">
        <v>26300.0</v>
      </c>
      <c r="F116" s="41">
        <f>D116*E116</f>
        <v>20196033</v>
      </c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33" t="s">
        <v>26</v>
      </c>
      <c r="B117" s="31"/>
      <c r="C117" s="32"/>
      <c r="D117" s="39"/>
      <c r="E117" s="90"/>
      <c r="F117" s="41">
        <f>round(F116*10%,0)</f>
        <v>2019603</v>
      </c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33" t="s">
        <v>16</v>
      </c>
      <c r="B118" s="31"/>
      <c r="C118" s="32"/>
      <c r="D118" s="39"/>
      <c r="E118" s="90"/>
      <c r="F118" s="41">
        <f>F116+F117</f>
        <v>22215636</v>
      </c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52" t="s">
        <v>57</v>
      </c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53"/>
      <c r="B123" s="53"/>
      <c r="C123" s="53"/>
      <c r="D123" s="53"/>
      <c r="E123" s="53"/>
      <c r="F123" s="53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9" t="s">
        <v>4</v>
      </c>
      <c r="B124" s="9" t="s">
        <v>5</v>
      </c>
      <c r="C124" s="9" t="s">
        <v>6</v>
      </c>
      <c r="D124" s="9" t="s">
        <v>7</v>
      </c>
      <c r="E124" s="9" t="s">
        <v>8</v>
      </c>
      <c r="F124" s="9" t="s">
        <v>9</v>
      </c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13">
        <v>1.0</v>
      </c>
      <c r="B125" s="54" t="s">
        <v>55</v>
      </c>
      <c r="C125" s="55">
        <v>45839.0</v>
      </c>
      <c r="D125" s="22">
        <v>829.04</v>
      </c>
      <c r="E125" s="56"/>
      <c r="F125" s="28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30" t="s">
        <v>32</v>
      </c>
      <c r="B126" s="31"/>
      <c r="C126" s="32"/>
      <c r="D126" s="24">
        <f>round(D125*(1+10%),2)</f>
        <v>911.94</v>
      </c>
      <c r="E126" s="57"/>
      <c r="F126" s="28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30" t="s">
        <v>34</v>
      </c>
      <c r="B127" s="31"/>
      <c r="C127" s="32"/>
      <c r="D127" s="24">
        <f>round(D126*12%,2)</f>
        <v>109.43</v>
      </c>
      <c r="E127" s="57"/>
      <c r="F127" s="28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33" t="s">
        <v>9</v>
      </c>
      <c r="B128" s="31"/>
      <c r="C128" s="32"/>
      <c r="D128" s="39">
        <f>D126-D127</f>
        <v>802.51</v>
      </c>
      <c r="E128" s="90">
        <v>26382.0</v>
      </c>
      <c r="F128" s="41">
        <f>D128*E128</f>
        <v>21171818.82</v>
      </c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33" t="s">
        <v>26</v>
      </c>
      <c r="B129" s="31"/>
      <c r="C129" s="32"/>
      <c r="D129" s="39"/>
      <c r="E129" s="90"/>
      <c r="F129" s="41">
        <f>round(F128*10%,0)</f>
        <v>2117182</v>
      </c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33" t="s">
        <v>16</v>
      </c>
      <c r="B130" s="31"/>
      <c r="C130" s="32"/>
      <c r="D130" s="39"/>
      <c r="E130" s="90"/>
      <c r="F130" s="41">
        <f>F128+F129</f>
        <v>23289000.82</v>
      </c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52" t="s">
        <v>57</v>
      </c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53"/>
      <c r="B136" s="53"/>
      <c r="C136" s="53"/>
      <c r="D136" s="53"/>
      <c r="E136" s="53"/>
      <c r="F136" s="53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9" t="s">
        <v>4</v>
      </c>
      <c r="B137" s="9" t="s">
        <v>5</v>
      </c>
      <c r="C137" s="9" t="s">
        <v>6</v>
      </c>
      <c r="D137" s="9" t="s">
        <v>7</v>
      </c>
      <c r="E137" s="9" t="s">
        <v>8</v>
      </c>
      <c r="F137" s="9" t="s">
        <v>9</v>
      </c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13">
        <v>1.0</v>
      </c>
      <c r="B138" s="54" t="s">
        <v>55</v>
      </c>
      <c r="C138" s="55">
        <v>45870.0</v>
      </c>
      <c r="D138" s="22">
        <v>829.4</v>
      </c>
      <c r="E138" s="56"/>
      <c r="F138" s="28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30" t="s">
        <v>32</v>
      </c>
      <c r="B139" s="31"/>
      <c r="C139" s="32"/>
      <c r="D139" s="24">
        <f>round(D138*(1+10%),2)</f>
        <v>912.34</v>
      </c>
      <c r="E139" s="57"/>
      <c r="F139" s="28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30" t="s">
        <v>34</v>
      </c>
      <c r="B140" s="31"/>
      <c r="C140" s="32"/>
      <c r="D140" s="24">
        <f>round(D139*12%,2)</f>
        <v>109.48</v>
      </c>
      <c r="E140" s="57"/>
      <c r="F140" s="28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33" t="s">
        <v>9</v>
      </c>
      <c r="B141" s="31"/>
      <c r="C141" s="32"/>
      <c r="D141" s="39">
        <f>D139-D140</f>
        <v>802.86</v>
      </c>
      <c r="E141" s="90">
        <v>26502.0</v>
      </c>
      <c r="F141" s="41">
        <f>D141*E141</f>
        <v>21277395.72</v>
      </c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33" t="s">
        <v>26</v>
      </c>
      <c r="B142" s="31"/>
      <c r="C142" s="32"/>
      <c r="D142" s="39"/>
      <c r="E142" s="90"/>
      <c r="F142" s="41">
        <f>round(F141*10%,0)</f>
        <v>2127740</v>
      </c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33" t="s">
        <v>16</v>
      </c>
      <c r="B143" s="31"/>
      <c r="C143" s="32"/>
      <c r="D143" s="39"/>
      <c r="E143" s="90"/>
      <c r="F143" s="41">
        <f>F141+F142</f>
        <v>23405135.72</v>
      </c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52" t="s">
        <v>57</v>
      </c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53"/>
      <c r="B149" s="53"/>
      <c r="C149" s="53"/>
      <c r="D149" s="53"/>
      <c r="E149" s="53"/>
      <c r="F149" s="53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9" t="s">
        <v>4</v>
      </c>
      <c r="B150" s="9" t="s">
        <v>5</v>
      </c>
      <c r="C150" s="9" t="s">
        <v>6</v>
      </c>
      <c r="D150" s="9" t="s">
        <v>7</v>
      </c>
      <c r="E150" s="9" t="s">
        <v>8</v>
      </c>
      <c r="F150" s="9" t="s">
        <v>9</v>
      </c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13">
        <v>1.0</v>
      </c>
      <c r="B151" s="54" t="s">
        <v>55</v>
      </c>
      <c r="C151" s="55">
        <v>45901.0</v>
      </c>
      <c r="D151" s="22">
        <v>829.4</v>
      </c>
      <c r="E151" s="56"/>
      <c r="F151" s="28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30" t="s">
        <v>32</v>
      </c>
      <c r="B152" s="31"/>
      <c r="C152" s="32"/>
      <c r="D152" s="24">
        <f>round(D151*(1+10%),2)</f>
        <v>912.34</v>
      </c>
      <c r="E152" s="57"/>
      <c r="F152" s="28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30" t="s">
        <v>34</v>
      </c>
      <c r="B153" s="31"/>
      <c r="C153" s="32"/>
      <c r="D153" s="24">
        <f>round(D152*12%,2)</f>
        <v>109.48</v>
      </c>
      <c r="E153" s="57"/>
      <c r="F153" s="28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33" t="s">
        <v>9</v>
      </c>
      <c r="B154" s="31"/>
      <c r="C154" s="32"/>
      <c r="D154" s="39">
        <f>D152-D153</f>
        <v>802.86</v>
      </c>
      <c r="E154" s="90">
        <v>26446.0</v>
      </c>
      <c r="F154" s="41">
        <f>D154*E154</f>
        <v>21232435.56</v>
      </c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33" t="s">
        <v>26</v>
      </c>
      <c r="B155" s="31"/>
      <c r="C155" s="32"/>
      <c r="D155" s="39"/>
      <c r="E155" s="90"/>
      <c r="F155" s="41">
        <f>round(F154*10%,0)</f>
        <v>2123244</v>
      </c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33" t="s">
        <v>16</v>
      </c>
      <c r="B156" s="31"/>
      <c r="C156" s="32"/>
      <c r="D156" s="39"/>
      <c r="E156" s="90"/>
      <c r="F156" s="41">
        <f>F154+F155</f>
        <v>23355679.56</v>
      </c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52" t="s">
        <v>57</v>
      </c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53"/>
      <c r="B163" s="53"/>
      <c r="C163" s="53"/>
      <c r="D163" s="53"/>
      <c r="E163" s="53"/>
      <c r="F163" s="53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9" t="s">
        <v>4</v>
      </c>
      <c r="B164" s="9" t="s">
        <v>5</v>
      </c>
      <c r="C164" s="9" t="s">
        <v>6</v>
      </c>
      <c r="D164" s="9" t="s">
        <v>7</v>
      </c>
      <c r="E164" s="9" t="s">
        <v>8</v>
      </c>
      <c r="F164" s="9" t="s">
        <v>9</v>
      </c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13">
        <v>1.0</v>
      </c>
      <c r="B165" s="54" t="s">
        <v>55</v>
      </c>
      <c r="C165" s="55">
        <v>45931.0</v>
      </c>
      <c r="D165" s="22">
        <v>829.4</v>
      </c>
      <c r="E165" s="56"/>
      <c r="F165" s="28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30" t="s">
        <v>32</v>
      </c>
      <c r="B166" s="31"/>
      <c r="C166" s="32"/>
      <c r="D166" s="24">
        <f>round(D165*(1+10%),2)</f>
        <v>912.34</v>
      </c>
      <c r="E166" s="57"/>
      <c r="F166" s="28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30" t="s">
        <v>34</v>
      </c>
      <c r="B167" s="31"/>
      <c r="C167" s="32"/>
      <c r="D167" s="24">
        <f>round(D166*12%,2)</f>
        <v>109.48</v>
      </c>
      <c r="E167" s="57"/>
      <c r="F167" s="28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33" t="s">
        <v>9</v>
      </c>
      <c r="B168" s="31"/>
      <c r="C168" s="32"/>
      <c r="D168" s="39">
        <f>D166-D167</f>
        <v>802.86</v>
      </c>
      <c r="E168" s="90">
        <v>26347.0</v>
      </c>
      <c r="F168" s="41">
        <f>D168*E168</f>
        <v>21152952.42</v>
      </c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33" t="s">
        <v>26</v>
      </c>
      <c r="B169" s="31"/>
      <c r="C169" s="32"/>
      <c r="D169" s="39"/>
      <c r="E169" s="90"/>
      <c r="F169" s="41">
        <f>round(F168*10%,0)</f>
        <v>2115295</v>
      </c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33" t="s">
        <v>16</v>
      </c>
      <c r="B170" s="31"/>
      <c r="C170" s="32"/>
      <c r="D170" s="39"/>
      <c r="E170" s="90"/>
      <c r="F170" s="41">
        <f>F168+F169</f>
        <v>23268247.42</v>
      </c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52" t="s">
        <v>57</v>
      </c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53"/>
      <c r="B176" s="53"/>
      <c r="C176" s="53"/>
      <c r="D176" s="53"/>
      <c r="E176" s="53"/>
      <c r="F176" s="53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9" t="s">
        <v>4</v>
      </c>
      <c r="B177" s="9" t="s">
        <v>5</v>
      </c>
      <c r="C177" s="9" t="s">
        <v>6</v>
      </c>
      <c r="D177" s="9" t="s">
        <v>7</v>
      </c>
      <c r="E177" s="9" t="s">
        <v>8</v>
      </c>
      <c r="F177" s="9" t="s">
        <v>9</v>
      </c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13">
        <v>1.0</v>
      </c>
      <c r="B178" s="54" t="s">
        <v>55</v>
      </c>
      <c r="C178" s="55">
        <v>45962.0</v>
      </c>
      <c r="D178" s="22">
        <v>829.4</v>
      </c>
      <c r="E178" s="56"/>
      <c r="F178" s="28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30" t="s">
        <v>32</v>
      </c>
      <c r="B179" s="31"/>
      <c r="C179" s="32"/>
      <c r="D179" s="24">
        <f>round(D178*(1+10%),2)</f>
        <v>912.34</v>
      </c>
      <c r="E179" s="57"/>
      <c r="F179" s="28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30" t="s">
        <v>34</v>
      </c>
      <c r="B180" s="31"/>
      <c r="C180" s="32"/>
      <c r="D180" s="24">
        <f>round(D179*12%,2)</f>
        <v>109.48</v>
      </c>
      <c r="E180" s="57"/>
      <c r="F180" s="28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33" t="s">
        <v>9</v>
      </c>
      <c r="B181" s="31"/>
      <c r="C181" s="32"/>
      <c r="D181" s="39">
        <f>D179-D180</f>
        <v>802.86</v>
      </c>
      <c r="E181" s="90">
        <v>26412.0</v>
      </c>
      <c r="F181" s="41">
        <f>D181*E181</f>
        <v>21205138.32</v>
      </c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33" t="s">
        <v>26</v>
      </c>
      <c r="B182" s="31"/>
      <c r="C182" s="32"/>
      <c r="D182" s="39"/>
      <c r="E182" s="90"/>
      <c r="F182" s="41">
        <f>round(F181*10%,0)</f>
        <v>2120514</v>
      </c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33" t="s">
        <v>16</v>
      </c>
      <c r="B183" s="31"/>
      <c r="C183" s="32"/>
      <c r="D183" s="39"/>
      <c r="E183" s="90"/>
      <c r="F183" s="41">
        <f>F181+F182</f>
        <v>23325652.32</v>
      </c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52" t="s">
        <v>57</v>
      </c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53"/>
      <c r="B190" s="53"/>
      <c r="C190" s="53"/>
      <c r="D190" s="53"/>
      <c r="E190" s="53"/>
      <c r="F190" s="53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9" t="s">
        <v>4</v>
      </c>
      <c r="B191" s="9" t="s">
        <v>5</v>
      </c>
      <c r="C191" s="9" t="s">
        <v>6</v>
      </c>
      <c r="D191" s="9" t="s">
        <v>7</v>
      </c>
      <c r="E191" s="9" t="s">
        <v>8</v>
      </c>
      <c r="F191" s="9" t="s">
        <v>9</v>
      </c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13">
        <v>1.0</v>
      </c>
      <c r="B192" s="54" t="s">
        <v>55</v>
      </c>
      <c r="C192" s="55">
        <v>45992.0</v>
      </c>
      <c r="D192" s="22">
        <v>829.4</v>
      </c>
      <c r="E192" s="56"/>
      <c r="F192" s="28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30" t="s">
        <v>32</v>
      </c>
      <c r="B193" s="31"/>
      <c r="C193" s="32"/>
      <c r="D193" s="24">
        <f>round(D192*(1+10%),2)</f>
        <v>912.34</v>
      </c>
      <c r="E193" s="57"/>
      <c r="F193" s="28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30" t="s">
        <v>34</v>
      </c>
      <c r="B194" s="31"/>
      <c r="C194" s="32"/>
      <c r="D194" s="24">
        <f>round(D193*12%,2)</f>
        <v>109.48</v>
      </c>
      <c r="E194" s="57"/>
      <c r="F194" s="28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33" t="s">
        <v>9</v>
      </c>
      <c r="B195" s="31"/>
      <c r="C195" s="32"/>
      <c r="D195" s="39">
        <f>D193-D194</f>
        <v>802.86</v>
      </c>
      <c r="E195" s="90">
        <v>26377.0</v>
      </c>
      <c r="F195" s="41">
        <f>D195*E195</f>
        <v>21177038.22</v>
      </c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33" t="s">
        <v>26</v>
      </c>
      <c r="B196" s="31"/>
      <c r="C196" s="32"/>
      <c r="D196" s="39"/>
      <c r="E196" s="90"/>
      <c r="F196" s="41">
        <f>round(F195*10%,0)</f>
        <v>2117704</v>
      </c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33" t="s">
        <v>16</v>
      </c>
      <c r="B197" s="31"/>
      <c r="C197" s="32"/>
      <c r="D197" s="39"/>
      <c r="E197" s="90"/>
      <c r="F197" s="41">
        <f>F195+F196</f>
        <v>23294742.22</v>
      </c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52" t="s">
        <v>57</v>
      </c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53"/>
      <c r="B204" s="53"/>
      <c r="C204" s="53"/>
      <c r="D204" s="53"/>
      <c r="E204" s="53"/>
      <c r="F204" s="53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9" t="s">
        <v>4</v>
      </c>
      <c r="B205" s="9" t="s">
        <v>5</v>
      </c>
      <c r="C205" s="9" t="s">
        <v>6</v>
      </c>
      <c r="D205" s="9" t="s">
        <v>7</v>
      </c>
      <c r="E205" s="9" t="s">
        <v>8</v>
      </c>
      <c r="F205" s="9" t="s">
        <v>9</v>
      </c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13">
        <v>1.0</v>
      </c>
      <c r="B206" s="54" t="s">
        <v>55</v>
      </c>
      <c r="C206" s="55">
        <v>46023.0</v>
      </c>
      <c r="D206" s="22">
        <v>829.4</v>
      </c>
      <c r="E206" s="56"/>
      <c r="F206" s="28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30" t="s">
        <v>32</v>
      </c>
      <c r="B207" s="31"/>
      <c r="C207" s="32"/>
      <c r="D207" s="24">
        <f>round(D206*(1+10%),2)</f>
        <v>912.34</v>
      </c>
      <c r="E207" s="57"/>
      <c r="F207" s="28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30" t="s">
        <v>34</v>
      </c>
      <c r="B208" s="31"/>
      <c r="C208" s="32"/>
      <c r="D208" s="24">
        <f>round(D207*12%,2)</f>
        <v>109.48</v>
      </c>
      <c r="E208" s="57"/>
      <c r="F208" s="28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33" t="s">
        <v>9</v>
      </c>
      <c r="B209" s="31"/>
      <c r="C209" s="32"/>
      <c r="D209" s="39">
        <f>D207-D208</f>
        <v>802.86</v>
      </c>
      <c r="E209" s="90">
        <v>26145.0</v>
      </c>
      <c r="F209" s="41">
        <f>round(D209*E209,0)</f>
        <v>20990775</v>
      </c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33" t="s">
        <v>26</v>
      </c>
      <c r="B210" s="31"/>
      <c r="C210" s="32"/>
      <c r="D210" s="39"/>
      <c r="E210" s="90"/>
      <c r="F210" s="41">
        <f>round(F209*10%,0)</f>
        <v>2099078</v>
      </c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33" t="s">
        <v>16</v>
      </c>
      <c r="B211" s="31"/>
      <c r="C211" s="32"/>
      <c r="D211" s="39"/>
      <c r="E211" s="90"/>
      <c r="F211" s="41">
        <f>F209+F210</f>
        <v>23089853</v>
      </c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52" t="s">
        <v>57</v>
      </c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53"/>
      <c r="B217" s="53"/>
      <c r="C217" s="53"/>
      <c r="D217" s="53"/>
      <c r="E217" s="53"/>
      <c r="F217" s="53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9" t="s">
        <v>4</v>
      </c>
      <c r="B218" s="9" t="s">
        <v>5</v>
      </c>
      <c r="C218" s="9" t="s">
        <v>6</v>
      </c>
      <c r="D218" s="9" t="s">
        <v>7</v>
      </c>
      <c r="E218" s="9" t="s">
        <v>8</v>
      </c>
      <c r="F218" s="9" t="s">
        <v>9</v>
      </c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13">
        <v>1.0</v>
      </c>
      <c r="B219" s="54" t="s">
        <v>55</v>
      </c>
      <c r="C219" s="55">
        <v>46054.0</v>
      </c>
      <c r="D219" s="22">
        <v>866.99</v>
      </c>
      <c r="E219" s="56"/>
      <c r="F219" s="28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30" t="s">
        <v>32</v>
      </c>
      <c r="B220" s="31"/>
      <c r="C220" s="32"/>
      <c r="D220" s="24">
        <f>round(D219*(1+10%),2)</f>
        <v>953.69</v>
      </c>
      <c r="E220" s="57"/>
      <c r="F220" s="28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30" t="s">
        <v>34</v>
      </c>
      <c r="B221" s="31"/>
      <c r="C221" s="32"/>
      <c r="D221" s="24">
        <f>round(D220*12%,2)</f>
        <v>114.44</v>
      </c>
      <c r="E221" s="57"/>
      <c r="F221" s="28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33" t="s">
        <v>9</v>
      </c>
      <c r="B222" s="31"/>
      <c r="C222" s="32"/>
      <c r="D222" s="39">
        <f>D220-D221</f>
        <v>839.25</v>
      </c>
      <c r="E222" s="90">
        <v>26240.0</v>
      </c>
      <c r="F222" s="41">
        <f>round(D222*E222,0)</f>
        <v>22021920</v>
      </c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33" t="s">
        <v>26</v>
      </c>
      <c r="B223" s="31"/>
      <c r="C223" s="32"/>
      <c r="D223" s="39"/>
      <c r="E223" s="90"/>
      <c r="F223" s="41">
        <f>round(F222*10%,0)</f>
        <v>2202192</v>
      </c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33" t="s">
        <v>16</v>
      </c>
      <c r="B224" s="31"/>
      <c r="C224" s="32"/>
      <c r="D224" s="39"/>
      <c r="E224" s="90"/>
      <c r="F224" s="41">
        <f>F222+F223</f>
        <v>24224112</v>
      </c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52" t="s">
        <v>57</v>
      </c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53"/>
      <c r="B231" s="53"/>
      <c r="C231" s="53"/>
      <c r="D231" s="53"/>
      <c r="E231" s="53"/>
      <c r="F231" s="53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9" t="s">
        <v>4</v>
      </c>
      <c r="B232" s="9" t="s">
        <v>5</v>
      </c>
      <c r="C232" s="9" t="s">
        <v>6</v>
      </c>
      <c r="D232" s="9" t="s">
        <v>7</v>
      </c>
      <c r="E232" s="9" t="s">
        <v>8</v>
      </c>
      <c r="F232" s="9" t="s">
        <v>9</v>
      </c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13">
        <v>1.0</v>
      </c>
      <c r="B233" s="54" t="s">
        <v>55</v>
      </c>
      <c r="C233" s="55">
        <v>46082.0</v>
      </c>
      <c r="D233" s="22">
        <v>990.03</v>
      </c>
      <c r="E233" s="56"/>
      <c r="F233" s="28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30" t="s">
        <v>32</v>
      </c>
      <c r="B234" s="31"/>
      <c r="C234" s="32"/>
      <c r="D234" s="24">
        <f>round(D233*(1+10%),2)</f>
        <v>1089.03</v>
      </c>
      <c r="E234" s="57"/>
      <c r="F234" s="28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30" t="s">
        <v>34</v>
      </c>
      <c r="B235" s="31"/>
      <c r="C235" s="32"/>
      <c r="D235" s="24">
        <f>round(D234*12%,2)</f>
        <v>130.68</v>
      </c>
      <c r="E235" s="57"/>
      <c r="F235" s="28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33" t="s">
        <v>9</v>
      </c>
      <c r="B236" s="31"/>
      <c r="C236" s="32"/>
      <c r="D236" s="39">
        <f>D234-D235</f>
        <v>958.35</v>
      </c>
      <c r="E236" s="90">
        <v>26357.0</v>
      </c>
      <c r="F236" s="41">
        <f>round(D236*E236,0)</f>
        <v>25259231</v>
      </c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33" t="s">
        <v>26</v>
      </c>
      <c r="B237" s="31"/>
      <c r="C237" s="32"/>
      <c r="D237" s="39"/>
      <c r="E237" s="90"/>
      <c r="F237" s="41">
        <f>round(F236*10%,0)</f>
        <v>2525923</v>
      </c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33" t="s">
        <v>16</v>
      </c>
      <c r="B238" s="31"/>
      <c r="C238" s="32"/>
      <c r="D238" s="39"/>
      <c r="E238" s="90"/>
      <c r="F238" s="41">
        <f>F236+F237</f>
        <v>27785154</v>
      </c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52" t="s">
        <v>57</v>
      </c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53"/>
      <c r="B245" s="53"/>
      <c r="C245" s="53"/>
      <c r="D245" s="53"/>
      <c r="E245" s="53"/>
      <c r="F245" s="53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9" t="s">
        <v>4</v>
      </c>
      <c r="B246" s="9" t="s">
        <v>5</v>
      </c>
      <c r="C246" s="9" t="s">
        <v>6</v>
      </c>
      <c r="D246" s="9" t="s">
        <v>7</v>
      </c>
      <c r="E246" s="9" t="s">
        <v>8</v>
      </c>
      <c r="F246" s="9" t="s">
        <v>9</v>
      </c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13">
        <v>1.0</v>
      </c>
      <c r="B247" s="54" t="s">
        <v>55</v>
      </c>
      <c r="C247" s="55">
        <v>46113.0</v>
      </c>
      <c r="D247" s="22">
        <v>922.59</v>
      </c>
      <c r="E247" s="56"/>
      <c r="F247" s="28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30" t="s">
        <v>32</v>
      </c>
      <c r="B248" s="31"/>
      <c r="C248" s="32"/>
      <c r="D248" s="24">
        <f>round(D247*(1+10%),2)</f>
        <v>1014.85</v>
      </c>
      <c r="E248" s="57"/>
      <c r="F248" s="28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30" t="s">
        <v>34</v>
      </c>
      <c r="B249" s="31"/>
      <c r="C249" s="32"/>
      <c r="D249" s="24">
        <f>round(D248*12%,2)</f>
        <v>121.78</v>
      </c>
      <c r="E249" s="57"/>
      <c r="F249" s="28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33" t="s">
        <v>9</v>
      </c>
      <c r="B250" s="31"/>
      <c r="C250" s="32"/>
      <c r="D250" s="39">
        <f>D248-D249</f>
        <v>893.07</v>
      </c>
      <c r="E250" s="90">
        <v>26368.0</v>
      </c>
      <c r="F250" s="41">
        <f>round(D250*E250,0)</f>
        <v>23548470</v>
      </c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33" t="s">
        <v>26</v>
      </c>
      <c r="B251" s="31"/>
      <c r="C251" s="32"/>
      <c r="D251" s="39"/>
      <c r="E251" s="90"/>
      <c r="F251" s="41">
        <f>round(F250*10%,0)</f>
        <v>2354847</v>
      </c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33" t="s">
        <v>16</v>
      </c>
      <c r="B252" s="31"/>
      <c r="C252" s="32"/>
      <c r="D252" s="39"/>
      <c r="E252" s="90"/>
      <c r="F252" s="41">
        <f>F250+F251</f>
        <v>25903317</v>
      </c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52" t="s">
        <v>57</v>
      </c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53"/>
      <c r="B259" s="53"/>
      <c r="C259" s="53"/>
      <c r="D259" s="53"/>
      <c r="E259" s="53"/>
      <c r="F259" s="53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9" t="s">
        <v>4</v>
      </c>
      <c r="B260" s="9" t="s">
        <v>5</v>
      </c>
      <c r="C260" s="9" t="s">
        <v>6</v>
      </c>
      <c r="D260" s="9" t="s">
        <v>7</v>
      </c>
      <c r="E260" s="9" t="s">
        <v>8</v>
      </c>
      <c r="F260" s="9" t="s">
        <v>9</v>
      </c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13">
        <v>1.0</v>
      </c>
      <c r="B261" s="54" t="s">
        <v>55</v>
      </c>
      <c r="C261" s="55">
        <v>46143.0</v>
      </c>
      <c r="D261" s="22">
        <v>618.57</v>
      </c>
      <c r="E261" s="56"/>
      <c r="F261" s="28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30" t="s">
        <v>32</v>
      </c>
      <c r="B262" s="31"/>
      <c r="C262" s="32"/>
      <c r="D262" s="24">
        <f>round(D261*(1+10%),2)</f>
        <v>680.43</v>
      </c>
      <c r="E262" s="57"/>
      <c r="F262" s="28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30" t="s">
        <v>34</v>
      </c>
      <c r="B263" s="31"/>
      <c r="C263" s="32"/>
      <c r="D263" s="24">
        <f>round(D262*12%,2)</f>
        <v>81.65</v>
      </c>
      <c r="E263" s="57"/>
      <c r="F263" s="28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33" t="s">
        <v>9</v>
      </c>
      <c r="B264" s="31"/>
      <c r="C264" s="32"/>
      <c r="D264" s="39">
        <f>D262-D263</f>
        <v>598.78</v>
      </c>
      <c r="E264" s="90">
        <v>26395.0</v>
      </c>
      <c r="F264" s="41">
        <f>round(D264*E264,0)</f>
        <v>15804798</v>
      </c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33" t="s">
        <v>26</v>
      </c>
      <c r="B265" s="31"/>
      <c r="C265" s="32"/>
      <c r="D265" s="39"/>
      <c r="E265" s="90"/>
      <c r="F265" s="41">
        <f>round(F264*10%,0)</f>
        <v>1580480</v>
      </c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33" t="s">
        <v>16</v>
      </c>
      <c r="B266" s="31"/>
      <c r="C266" s="32"/>
      <c r="D266" s="39"/>
      <c r="E266" s="90"/>
      <c r="F266" s="41">
        <f>F264+F265</f>
        <v>17385278</v>
      </c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52" t="s">
        <v>57</v>
      </c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53"/>
      <c r="B273" s="53"/>
      <c r="C273" s="53"/>
      <c r="D273" s="53"/>
      <c r="E273" s="53"/>
      <c r="F273" s="53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9" t="s">
        <v>4</v>
      </c>
      <c r="B274" s="9" t="s">
        <v>5</v>
      </c>
      <c r="C274" s="9" t="s">
        <v>6</v>
      </c>
      <c r="D274" s="9" t="s">
        <v>7</v>
      </c>
      <c r="E274" s="9" t="s">
        <v>8</v>
      </c>
      <c r="F274" s="9" t="s">
        <v>9</v>
      </c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13">
        <v>1.0</v>
      </c>
      <c r="B275" s="54" t="s">
        <v>55</v>
      </c>
      <c r="C275" s="55">
        <v>46174.0</v>
      </c>
      <c r="D275" s="22">
        <v>596.67</v>
      </c>
      <c r="E275" s="56"/>
      <c r="F275" s="28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30" t="s">
        <v>32</v>
      </c>
      <c r="B276" s="31"/>
      <c r="C276" s="32"/>
      <c r="D276" s="24">
        <f>round(D275*(1+10%),2)</f>
        <v>656.34</v>
      </c>
      <c r="E276" s="57"/>
      <c r="F276" s="28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30" t="s">
        <v>34</v>
      </c>
      <c r="B277" s="31"/>
      <c r="C277" s="32"/>
      <c r="D277" s="24">
        <f>round(D276*12%,2)</f>
        <v>78.76</v>
      </c>
      <c r="E277" s="57"/>
      <c r="F277" s="28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33" t="s">
        <v>9</v>
      </c>
      <c r="B278" s="31"/>
      <c r="C278" s="32"/>
      <c r="D278" s="39">
        <f>D276-D277</f>
        <v>577.58</v>
      </c>
      <c r="E278" s="90">
        <v>26466.0</v>
      </c>
      <c r="F278" s="41">
        <f>round(D278*E278,0)</f>
        <v>15286232</v>
      </c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33" t="s">
        <v>26</v>
      </c>
      <c r="B279" s="31"/>
      <c r="C279" s="32"/>
      <c r="D279" s="39"/>
      <c r="E279" s="90"/>
      <c r="F279" s="41">
        <f>round(F278*10%,0)</f>
        <v>1528623</v>
      </c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33" t="s">
        <v>16</v>
      </c>
      <c r="B280" s="31"/>
      <c r="C280" s="32"/>
      <c r="D280" s="39"/>
      <c r="E280" s="90"/>
      <c r="F280" s="41">
        <f>F278+F279</f>
        <v>16814855</v>
      </c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52" t="s">
        <v>57</v>
      </c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53"/>
      <c r="B287" s="53"/>
      <c r="C287" s="53"/>
      <c r="D287" s="53"/>
      <c r="E287" s="53"/>
      <c r="F287" s="53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9" t="s">
        <v>4</v>
      </c>
      <c r="B288" s="9" t="s">
        <v>5</v>
      </c>
      <c r="C288" s="9" t="s">
        <v>6</v>
      </c>
      <c r="D288" s="9" t="s">
        <v>7</v>
      </c>
      <c r="E288" s="9" t="s">
        <v>8</v>
      </c>
      <c r="F288" s="9" t="s">
        <v>9</v>
      </c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13">
        <v>1.0</v>
      </c>
      <c r="B289" s="54" t="s">
        <v>55</v>
      </c>
      <c r="C289" s="55">
        <v>46204.0</v>
      </c>
      <c r="D289" s="22">
        <v>596.67</v>
      </c>
      <c r="E289" s="56"/>
      <c r="F289" s="28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30" t="s">
        <v>32</v>
      </c>
      <c r="B290" s="31"/>
      <c r="C290" s="32"/>
      <c r="D290" s="24">
        <f>round(D289*(1+10%),2)</f>
        <v>656.34</v>
      </c>
      <c r="E290" s="57"/>
      <c r="F290" s="28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30" t="s">
        <v>34</v>
      </c>
      <c r="B291" s="31"/>
      <c r="C291" s="32"/>
      <c r="D291" s="24">
        <f>round(D290*12%,2)</f>
        <v>78.76</v>
      </c>
      <c r="E291" s="57"/>
      <c r="F291" s="28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33" t="s">
        <v>9</v>
      </c>
      <c r="B292" s="31"/>
      <c r="C292" s="32"/>
      <c r="D292" s="39">
        <f>D290-D291</f>
        <v>577.58</v>
      </c>
      <c r="E292" s="90">
        <v>26475.0</v>
      </c>
      <c r="F292" s="41">
        <f>round(D292*E292,0)</f>
        <v>15291431</v>
      </c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33" t="s">
        <v>26</v>
      </c>
      <c r="B293" s="31"/>
      <c r="C293" s="32"/>
      <c r="D293" s="39"/>
      <c r="E293" s="90"/>
      <c r="F293" s="41">
        <f>round(F292*10%,0)</f>
        <v>1529143</v>
      </c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33" t="s">
        <v>16</v>
      </c>
      <c r="B294" s="31"/>
      <c r="C294" s="32"/>
      <c r="D294" s="39"/>
      <c r="E294" s="90"/>
      <c r="F294" s="41">
        <f>F292+F293</f>
        <v>16820574</v>
      </c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</sheetData>
  <mergeCells count="138">
    <mergeCell ref="A1:F1"/>
    <mergeCell ref="A5:C5"/>
    <mergeCell ref="A6:C6"/>
    <mergeCell ref="A7:C7"/>
    <mergeCell ref="A8:C8"/>
    <mergeCell ref="A9:C9"/>
    <mergeCell ref="A14:F14"/>
    <mergeCell ref="A18:C18"/>
    <mergeCell ref="A19:C19"/>
    <mergeCell ref="A20:C20"/>
    <mergeCell ref="A21:C21"/>
    <mergeCell ref="A22:C22"/>
    <mergeCell ref="A26:F26"/>
    <mergeCell ref="A30:C30"/>
    <mergeCell ref="A31:C31"/>
    <mergeCell ref="A32:C32"/>
    <mergeCell ref="A33:C33"/>
    <mergeCell ref="A34:C34"/>
    <mergeCell ref="A38:F38"/>
    <mergeCell ref="A42:C42"/>
    <mergeCell ref="A43:C43"/>
    <mergeCell ref="A44:C44"/>
    <mergeCell ref="A45:C45"/>
    <mergeCell ref="A46:C46"/>
    <mergeCell ref="A50:F50"/>
    <mergeCell ref="A54:C54"/>
    <mergeCell ref="A55:C55"/>
    <mergeCell ref="A56:C56"/>
    <mergeCell ref="A57:C57"/>
    <mergeCell ref="A58:C58"/>
    <mergeCell ref="A62:F62"/>
    <mergeCell ref="A66:C66"/>
    <mergeCell ref="A67:C67"/>
    <mergeCell ref="A68:C68"/>
    <mergeCell ref="A69:C69"/>
    <mergeCell ref="A70:C70"/>
    <mergeCell ref="A74:F74"/>
    <mergeCell ref="A78:C78"/>
    <mergeCell ref="A79:C79"/>
    <mergeCell ref="A80:C80"/>
    <mergeCell ref="A81:C81"/>
    <mergeCell ref="A82:C82"/>
    <mergeCell ref="A86:F86"/>
    <mergeCell ref="A90:C90"/>
    <mergeCell ref="A91:C91"/>
    <mergeCell ref="A92:C92"/>
    <mergeCell ref="A93:C93"/>
    <mergeCell ref="A94:C94"/>
    <mergeCell ref="A98:F98"/>
    <mergeCell ref="A193:C193"/>
    <mergeCell ref="A194:C194"/>
    <mergeCell ref="A195:C195"/>
    <mergeCell ref="A196:C196"/>
    <mergeCell ref="A197:C197"/>
    <mergeCell ref="A203:F203"/>
    <mergeCell ref="A207:C207"/>
    <mergeCell ref="A208:C208"/>
    <mergeCell ref="A209:C209"/>
    <mergeCell ref="A210:C210"/>
    <mergeCell ref="A211:C211"/>
    <mergeCell ref="A216:F216"/>
    <mergeCell ref="A220:C220"/>
    <mergeCell ref="A221:C221"/>
    <mergeCell ref="A237:C237"/>
    <mergeCell ref="A238:C238"/>
    <mergeCell ref="A244:F244"/>
    <mergeCell ref="A248:C248"/>
    <mergeCell ref="A249:C249"/>
    <mergeCell ref="A250:C250"/>
    <mergeCell ref="A251:C251"/>
    <mergeCell ref="A252:C252"/>
    <mergeCell ref="A258:F258"/>
    <mergeCell ref="A262:C262"/>
    <mergeCell ref="A263:C263"/>
    <mergeCell ref="A264:C264"/>
    <mergeCell ref="A265:C265"/>
    <mergeCell ref="A266:C266"/>
    <mergeCell ref="A290:C290"/>
    <mergeCell ref="A291:C291"/>
    <mergeCell ref="A292:C292"/>
    <mergeCell ref="A293:C293"/>
    <mergeCell ref="A294:C294"/>
    <mergeCell ref="A272:F272"/>
    <mergeCell ref="A276:C276"/>
    <mergeCell ref="A277:C277"/>
    <mergeCell ref="A278:C278"/>
    <mergeCell ref="A279:C279"/>
    <mergeCell ref="A280:C280"/>
    <mergeCell ref="A286:F286"/>
    <mergeCell ref="A102:C102"/>
    <mergeCell ref="A103:C103"/>
    <mergeCell ref="A104:C104"/>
    <mergeCell ref="A105:C105"/>
    <mergeCell ref="A106:C106"/>
    <mergeCell ref="A110:F110"/>
    <mergeCell ref="A114:C114"/>
    <mergeCell ref="A115:C115"/>
    <mergeCell ref="A116:C116"/>
    <mergeCell ref="A117:C117"/>
    <mergeCell ref="A118:C118"/>
    <mergeCell ref="A122:F122"/>
    <mergeCell ref="A126:C126"/>
    <mergeCell ref="A127:C127"/>
    <mergeCell ref="A128:C128"/>
    <mergeCell ref="A129:C129"/>
    <mergeCell ref="A130:C130"/>
    <mergeCell ref="A135:F135"/>
    <mergeCell ref="A139:C139"/>
    <mergeCell ref="A140:C140"/>
    <mergeCell ref="A141:C141"/>
    <mergeCell ref="A142:C142"/>
    <mergeCell ref="A143:C143"/>
    <mergeCell ref="A148:F148"/>
    <mergeCell ref="A152:C152"/>
    <mergeCell ref="A153:C153"/>
    <mergeCell ref="A154:C154"/>
    <mergeCell ref="A155:C155"/>
    <mergeCell ref="A156:C156"/>
    <mergeCell ref="A162:F162"/>
    <mergeCell ref="A166:C166"/>
    <mergeCell ref="A167:C167"/>
    <mergeCell ref="A168:C168"/>
    <mergeCell ref="A169:C169"/>
    <mergeCell ref="A170:C170"/>
    <mergeCell ref="A175:F175"/>
    <mergeCell ref="A179:C179"/>
    <mergeCell ref="A180:C180"/>
    <mergeCell ref="A181:C181"/>
    <mergeCell ref="A182:C182"/>
    <mergeCell ref="A183:C183"/>
    <mergeCell ref="A189:F189"/>
    <mergeCell ref="A222:C222"/>
    <mergeCell ref="A223:C223"/>
    <mergeCell ref="A224:C224"/>
    <mergeCell ref="A230:F230"/>
    <mergeCell ref="A234:C234"/>
    <mergeCell ref="A235:C235"/>
    <mergeCell ref="A236:C23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88"/>
    <col customWidth="1" min="2" max="2" width="58.63"/>
    <col customWidth="1" min="3" max="3" width="11.0"/>
    <col customWidth="1" min="4" max="4" width="19.75"/>
    <col customWidth="1" min="5" max="5" width="10.25"/>
    <col customWidth="1" min="6" max="6" width="19.0"/>
  </cols>
  <sheetData>
    <row r="1">
      <c r="A1" s="52" t="s">
        <v>59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53"/>
      <c r="B2" s="53"/>
      <c r="C2" s="53"/>
      <c r="D2" s="53"/>
      <c r="E2" s="53"/>
      <c r="F2" s="53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13">
        <v>1.0</v>
      </c>
      <c r="B4" s="54" t="s">
        <v>60</v>
      </c>
      <c r="C4" s="55">
        <v>45566.0</v>
      </c>
      <c r="D4" s="22">
        <v>460.13</v>
      </c>
      <c r="E4" s="56"/>
      <c r="F4" s="28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30" t="s">
        <v>21</v>
      </c>
      <c r="B5" s="31"/>
      <c r="C5" s="32"/>
      <c r="D5" s="24">
        <f>round(D4*(1+5.26%),2)</f>
        <v>484.33</v>
      </c>
      <c r="E5" s="57"/>
      <c r="F5" s="28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30" t="s">
        <v>24</v>
      </c>
      <c r="B6" s="31"/>
      <c r="C6" s="32"/>
      <c r="D6" s="24">
        <f>round(D5*10%,2)</f>
        <v>48.43</v>
      </c>
      <c r="E6" s="57"/>
      <c r="F6" s="28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33" t="s">
        <v>9</v>
      </c>
      <c r="B7" s="31"/>
      <c r="C7" s="32"/>
      <c r="D7" s="39">
        <f>D5-D6</f>
        <v>435.9</v>
      </c>
      <c r="E7" s="90">
        <v>25445.0</v>
      </c>
      <c r="F7" s="41">
        <f>D7*E7</f>
        <v>11091475.5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33" t="s">
        <v>26</v>
      </c>
      <c r="B8" s="31"/>
      <c r="C8" s="32"/>
      <c r="D8" s="39"/>
      <c r="E8" s="90"/>
      <c r="F8" s="41">
        <f>round(F7*10%,0)</f>
        <v>1109148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33" t="s">
        <v>16</v>
      </c>
      <c r="B9" s="31"/>
      <c r="C9" s="32"/>
      <c r="D9" s="39"/>
      <c r="E9" s="90"/>
      <c r="F9" s="41">
        <f>F7+F8</f>
        <v>12200623.5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52" t="s">
        <v>59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53"/>
      <c r="B14" s="53"/>
      <c r="C14" s="53"/>
      <c r="D14" s="53"/>
      <c r="E14" s="53"/>
      <c r="F14" s="53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13">
        <v>1.0</v>
      </c>
      <c r="B16" s="54" t="s">
        <v>60</v>
      </c>
      <c r="C16" s="55">
        <v>45597.0</v>
      </c>
      <c r="D16" s="22">
        <v>480.87</v>
      </c>
      <c r="E16" s="56"/>
      <c r="F16" s="28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30" t="s">
        <v>21</v>
      </c>
      <c r="B17" s="31"/>
      <c r="C17" s="32"/>
      <c r="D17" s="24">
        <f>round(D16*(1+5.26%),2)</f>
        <v>506.16</v>
      </c>
      <c r="E17" s="57"/>
      <c r="F17" s="28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30" t="s">
        <v>24</v>
      </c>
      <c r="B18" s="31"/>
      <c r="C18" s="32"/>
      <c r="D18" s="24">
        <f>round(D17*10%,2)</f>
        <v>50.62</v>
      </c>
      <c r="E18" s="57"/>
      <c r="F18" s="28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33" t="s">
        <v>9</v>
      </c>
      <c r="B19" s="31"/>
      <c r="C19" s="32"/>
      <c r="D19" s="39">
        <f>D17-D18</f>
        <v>455.54</v>
      </c>
      <c r="E19" s="90">
        <v>25463.0</v>
      </c>
      <c r="F19" s="41">
        <f>D19*E19</f>
        <v>11599415.02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33" t="s">
        <v>26</v>
      </c>
      <c r="B20" s="31"/>
      <c r="C20" s="32"/>
      <c r="D20" s="39"/>
      <c r="E20" s="90"/>
      <c r="F20" s="41">
        <f>round(F19*10%,0)</f>
        <v>1159942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33" t="s">
        <v>16</v>
      </c>
      <c r="B21" s="31"/>
      <c r="C21" s="32"/>
      <c r="D21" s="39"/>
      <c r="E21" s="90"/>
      <c r="F21" s="41">
        <f>F19+F20</f>
        <v>12759357.02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52" t="s">
        <v>61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53"/>
      <c r="B26" s="53"/>
      <c r="C26" s="53"/>
      <c r="D26" s="53"/>
      <c r="E26" s="53"/>
      <c r="F26" s="53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13">
        <v>1.0</v>
      </c>
      <c r="B28" s="54" t="s">
        <v>60</v>
      </c>
      <c r="C28" s="55">
        <v>45627.0</v>
      </c>
      <c r="D28" s="22">
        <v>469.88</v>
      </c>
      <c r="E28" s="56"/>
      <c r="F28" s="28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30" t="s">
        <v>21</v>
      </c>
      <c r="B29" s="31"/>
      <c r="C29" s="32"/>
      <c r="D29" s="24">
        <f>round(D28*(1+5.26%),2)</f>
        <v>494.6</v>
      </c>
      <c r="E29" s="57"/>
      <c r="F29" s="28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30" t="s">
        <v>24</v>
      </c>
      <c r="B30" s="31"/>
      <c r="C30" s="32"/>
      <c r="D30" s="24">
        <f>round(D29*10%,2)</f>
        <v>49.46</v>
      </c>
      <c r="E30" s="57"/>
      <c r="F30" s="2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33" t="s">
        <v>9</v>
      </c>
      <c r="B31" s="31"/>
      <c r="C31" s="32"/>
      <c r="D31" s="39">
        <f>D29-D30</f>
        <v>445.14</v>
      </c>
      <c r="E31" s="90">
        <v>25551.0</v>
      </c>
      <c r="F31" s="41">
        <f>D31*E31</f>
        <v>11373772.14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33" t="s">
        <v>26</v>
      </c>
      <c r="B32" s="31"/>
      <c r="C32" s="32"/>
      <c r="D32" s="39"/>
      <c r="E32" s="90"/>
      <c r="F32" s="41">
        <f>round(F31*10%,0)</f>
        <v>1137377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33" t="s">
        <v>16</v>
      </c>
      <c r="B33" s="31"/>
      <c r="C33" s="32"/>
      <c r="D33" s="39"/>
      <c r="E33" s="90"/>
      <c r="F33" s="41">
        <f>F31+F32</f>
        <v>12511149.14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52" t="s">
        <v>61</v>
      </c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53"/>
      <c r="B38" s="53"/>
      <c r="C38" s="53"/>
      <c r="D38" s="53"/>
      <c r="E38" s="53"/>
      <c r="F38" s="53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13">
        <v>1.0</v>
      </c>
      <c r="B40" s="54" t="s">
        <v>60</v>
      </c>
      <c r="C40" s="55">
        <v>45658.0</v>
      </c>
      <c r="D40" s="22">
        <v>447.82</v>
      </c>
      <c r="E40" s="56"/>
      <c r="F40" s="28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30" t="s">
        <v>21</v>
      </c>
      <c r="B41" s="31"/>
      <c r="C41" s="32"/>
      <c r="D41" s="24">
        <f>round(D40*(1+5.26%),2)</f>
        <v>471.38</v>
      </c>
      <c r="E41" s="57"/>
      <c r="F41" s="28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30" t="s">
        <v>24</v>
      </c>
      <c r="B42" s="31"/>
      <c r="C42" s="32"/>
      <c r="D42" s="24">
        <f>round(D41*10%,2)</f>
        <v>47.14</v>
      </c>
      <c r="E42" s="57"/>
      <c r="F42" s="28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33" t="s">
        <v>9</v>
      </c>
      <c r="B43" s="31"/>
      <c r="C43" s="32"/>
      <c r="D43" s="39">
        <f>D41-D42</f>
        <v>424.24</v>
      </c>
      <c r="E43" s="90">
        <v>25295.0</v>
      </c>
      <c r="F43" s="41">
        <f>D43*E43</f>
        <v>10731150.8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33" t="s">
        <v>26</v>
      </c>
      <c r="B44" s="31"/>
      <c r="C44" s="32"/>
      <c r="D44" s="39"/>
      <c r="E44" s="90"/>
      <c r="F44" s="41">
        <f>round(F43*10%,0)</f>
        <v>1073115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33" t="s">
        <v>16</v>
      </c>
      <c r="B45" s="31"/>
      <c r="C45" s="32"/>
      <c r="D45" s="39"/>
      <c r="E45" s="90"/>
      <c r="F45" s="41">
        <f>F43+F44</f>
        <v>11804265.8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52" t="s">
        <v>61</v>
      </c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53"/>
      <c r="B50" s="53"/>
      <c r="C50" s="53"/>
      <c r="D50" s="53"/>
      <c r="E50" s="53"/>
      <c r="F50" s="53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13">
        <v>1.0</v>
      </c>
      <c r="B52" s="54" t="s">
        <v>60</v>
      </c>
      <c r="C52" s="55">
        <v>45689.0</v>
      </c>
      <c r="D52" s="22">
        <v>396.89</v>
      </c>
      <c r="E52" s="56"/>
      <c r="F52" s="28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30" t="s">
        <v>21</v>
      </c>
      <c r="B53" s="31"/>
      <c r="C53" s="32"/>
      <c r="D53" s="24">
        <f>round(D52*(1+5.26%),2)</f>
        <v>417.77</v>
      </c>
      <c r="E53" s="57"/>
      <c r="F53" s="28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30" t="s">
        <v>24</v>
      </c>
      <c r="B54" s="31"/>
      <c r="C54" s="32"/>
      <c r="D54" s="24">
        <f>round(D53*10%,2)</f>
        <v>41.78</v>
      </c>
      <c r="E54" s="57"/>
      <c r="F54" s="28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33" t="s">
        <v>9</v>
      </c>
      <c r="B55" s="31"/>
      <c r="C55" s="32"/>
      <c r="D55" s="39">
        <f>D53-D54</f>
        <v>375.99</v>
      </c>
      <c r="E55" s="90">
        <v>25735.0</v>
      </c>
      <c r="F55" s="41">
        <f>D55*E55</f>
        <v>9676102.65</v>
      </c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33" t="s">
        <v>26</v>
      </c>
      <c r="B56" s="31"/>
      <c r="C56" s="32"/>
      <c r="D56" s="39"/>
      <c r="E56" s="90"/>
      <c r="F56" s="41">
        <f>round(F55*10%,0)</f>
        <v>967610</v>
      </c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33" t="s">
        <v>16</v>
      </c>
      <c r="B57" s="31"/>
      <c r="C57" s="32"/>
      <c r="D57" s="39"/>
      <c r="E57" s="90"/>
      <c r="F57" s="41">
        <f>F55+F56</f>
        <v>10643712.65</v>
      </c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52" t="s">
        <v>61</v>
      </c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53"/>
      <c r="B62" s="53"/>
      <c r="C62" s="53"/>
      <c r="D62" s="53"/>
      <c r="E62" s="53"/>
      <c r="F62" s="53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9" t="s">
        <v>4</v>
      </c>
      <c r="B63" s="9" t="s">
        <v>5</v>
      </c>
      <c r="C63" s="9" t="s">
        <v>6</v>
      </c>
      <c r="D63" s="9" t="s">
        <v>7</v>
      </c>
      <c r="E63" s="9" t="s">
        <v>8</v>
      </c>
      <c r="F63" s="9" t="s">
        <v>9</v>
      </c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13">
        <v>1.0</v>
      </c>
      <c r="B64" s="54" t="s">
        <v>60</v>
      </c>
      <c r="C64" s="55">
        <v>45717.0</v>
      </c>
      <c r="D64" s="22">
        <v>409.04</v>
      </c>
      <c r="E64" s="56"/>
      <c r="F64" s="28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30" t="s">
        <v>21</v>
      </c>
      <c r="B65" s="31"/>
      <c r="C65" s="32"/>
      <c r="D65" s="24">
        <f>round(D64*(1+5.26%),2)</f>
        <v>430.56</v>
      </c>
      <c r="E65" s="57"/>
      <c r="F65" s="28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30" t="s">
        <v>24</v>
      </c>
      <c r="B66" s="31"/>
      <c r="C66" s="32"/>
      <c r="D66" s="24">
        <f>round(D65*10%,2)</f>
        <v>43.06</v>
      </c>
      <c r="E66" s="57"/>
      <c r="F66" s="28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33" t="s">
        <v>9</v>
      </c>
      <c r="B67" s="31"/>
      <c r="C67" s="32"/>
      <c r="D67" s="39">
        <f>D65-D66</f>
        <v>387.5</v>
      </c>
      <c r="E67" s="90">
        <v>25775.0</v>
      </c>
      <c r="F67" s="41">
        <f>D67*E67</f>
        <v>9987812.5</v>
      </c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33" t="s">
        <v>26</v>
      </c>
      <c r="B68" s="31"/>
      <c r="C68" s="32"/>
      <c r="D68" s="39"/>
      <c r="E68" s="90"/>
      <c r="F68" s="41">
        <f>round(F67*10%,0)</f>
        <v>998781</v>
      </c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33" t="s">
        <v>16</v>
      </c>
      <c r="B69" s="31"/>
      <c r="C69" s="32"/>
      <c r="D69" s="39"/>
      <c r="E69" s="90"/>
      <c r="F69" s="41">
        <f>F67+F68</f>
        <v>10986593.5</v>
      </c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52" t="s">
        <v>61</v>
      </c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53"/>
      <c r="B74" s="53"/>
      <c r="C74" s="53"/>
      <c r="D74" s="53"/>
      <c r="E74" s="53"/>
      <c r="F74" s="53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9" t="s">
        <v>4</v>
      </c>
      <c r="B75" s="9" t="s">
        <v>5</v>
      </c>
      <c r="C75" s="9" t="s">
        <v>6</v>
      </c>
      <c r="D75" s="9" t="s">
        <v>7</v>
      </c>
      <c r="E75" s="9" t="s">
        <v>8</v>
      </c>
      <c r="F75" s="9" t="s">
        <v>9</v>
      </c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13">
        <v>1.0</v>
      </c>
      <c r="B76" s="54" t="s">
        <v>60</v>
      </c>
      <c r="C76" s="55">
        <v>45748.0</v>
      </c>
      <c r="D76" s="22">
        <v>409.13</v>
      </c>
      <c r="E76" s="56"/>
      <c r="F76" s="28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30" t="s">
        <v>21</v>
      </c>
      <c r="B77" s="31"/>
      <c r="C77" s="32"/>
      <c r="D77" s="24">
        <f>round(D76*(1+5.26%),2)</f>
        <v>430.65</v>
      </c>
      <c r="E77" s="57"/>
      <c r="F77" s="28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30" t="s">
        <v>24</v>
      </c>
      <c r="B78" s="31"/>
      <c r="C78" s="32"/>
      <c r="D78" s="24">
        <f>round(D77*10%,2)</f>
        <v>43.07</v>
      </c>
      <c r="E78" s="57"/>
      <c r="F78" s="28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33" t="s">
        <v>9</v>
      </c>
      <c r="B79" s="31"/>
      <c r="C79" s="32"/>
      <c r="D79" s="39">
        <f>D77-D78</f>
        <v>387.58</v>
      </c>
      <c r="E79" s="90">
        <v>26190.0</v>
      </c>
      <c r="F79" s="41">
        <f>D79*E79</f>
        <v>10150720.2</v>
      </c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33" t="s">
        <v>26</v>
      </c>
      <c r="B80" s="31"/>
      <c r="C80" s="32"/>
      <c r="D80" s="39"/>
      <c r="E80" s="90"/>
      <c r="F80" s="41">
        <f>round(F79*10%,0)</f>
        <v>1015072</v>
      </c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33" t="s">
        <v>16</v>
      </c>
      <c r="B81" s="31"/>
      <c r="C81" s="32"/>
      <c r="D81" s="39"/>
      <c r="E81" s="90"/>
      <c r="F81" s="41">
        <f>F79+F80</f>
        <v>11165792.2</v>
      </c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52" t="s">
        <v>61</v>
      </c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53"/>
      <c r="B86" s="53"/>
      <c r="C86" s="53"/>
      <c r="D86" s="53"/>
      <c r="E86" s="53"/>
      <c r="F86" s="53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9" t="s">
        <v>4</v>
      </c>
      <c r="B87" s="9" t="s">
        <v>5</v>
      </c>
      <c r="C87" s="9" t="s">
        <v>6</v>
      </c>
      <c r="D87" s="9" t="s">
        <v>7</v>
      </c>
      <c r="E87" s="9" t="s">
        <v>8</v>
      </c>
      <c r="F87" s="9" t="s">
        <v>9</v>
      </c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13">
        <v>1.0</v>
      </c>
      <c r="B88" s="54" t="s">
        <v>60</v>
      </c>
      <c r="C88" s="55">
        <v>45778.0</v>
      </c>
      <c r="D88" s="22">
        <v>411.06</v>
      </c>
      <c r="E88" s="56"/>
      <c r="F88" s="28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30" t="s">
        <v>21</v>
      </c>
      <c r="B89" s="31"/>
      <c r="C89" s="32"/>
      <c r="D89" s="24">
        <f>round(D88*(1+5.26%),2)</f>
        <v>432.68</v>
      </c>
      <c r="E89" s="57"/>
      <c r="F89" s="28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30" t="s">
        <v>24</v>
      </c>
      <c r="B90" s="31"/>
      <c r="C90" s="32"/>
      <c r="D90" s="24">
        <f>round(D89*10%,2)</f>
        <v>43.27</v>
      </c>
      <c r="E90" s="57"/>
      <c r="F90" s="28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33" t="s">
        <v>9</v>
      </c>
      <c r="B91" s="31"/>
      <c r="C91" s="32"/>
      <c r="D91" s="39">
        <f>D89-D90</f>
        <v>389.41</v>
      </c>
      <c r="E91" s="90">
        <v>26225.0</v>
      </c>
      <c r="F91" s="41">
        <f>D91*E91</f>
        <v>10212277.25</v>
      </c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33" t="s">
        <v>26</v>
      </c>
      <c r="B92" s="31"/>
      <c r="C92" s="32"/>
      <c r="D92" s="39"/>
      <c r="E92" s="90"/>
      <c r="F92" s="41">
        <f>round(F91*10%,0)</f>
        <v>1021228</v>
      </c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33" t="s">
        <v>16</v>
      </c>
      <c r="B93" s="31"/>
      <c r="C93" s="32"/>
      <c r="D93" s="39"/>
      <c r="E93" s="90"/>
      <c r="F93" s="41">
        <f>F91+F92</f>
        <v>11233505.25</v>
      </c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52" t="s">
        <v>61</v>
      </c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53"/>
      <c r="B98" s="53"/>
      <c r="C98" s="53"/>
      <c r="D98" s="53"/>
      <c r="E98" s="53"/>
      <c r="F98" s="53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9" t="s">
        <v>4</v>
      </c>
      <c r="B99" s="9" t="s">
        <v>5</v>
      </c>
      <c r="C99" s="9" t="s">
        <v>6</v>
      </c>
      <c r="D99" s="9" t="s">
        <v>7</v>
      </c>
      <c r="E99" s="9" t="s">
        <v>8</v>
      </c>
      <c r="F99" s="9" t="s">
        <v>9</v>
      </c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13">
        <v>1.0</v>
      </c>
      <c r="B100" s="54" t="s">
        <v>60</v>
      </c>
      <c r="C100" s="55">
        <v>45809.0</v>
      </c>
      <c r="D100" s="22">
        <v>398.24</v>
      </c>
      <c r="E100" s="56"/>
      <c r="F100" s="28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30" t="s">
        <v>21</v>
      </c>
      <c r="B101" s="31"/>
      <c r="C101" s="32"/>
      <c r="D101" s="24">
        <f>round(D100*(1+5.26%),2)</f>
        <v>419.19</v>
      </c>
      <c r="E101" s="57"/>
      <c r="F101" s="28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30" t="s">
        <v>24</v>
      </c>
      <c r="B102" s="31"/>
      <c r="C102" s="32"/>
      <c r="D102" s="24">
        <f>round(D101*10%,2)</f>
        <v>41.92</v>
      </c>
      <c r="E102" s="57"/>
      <c r="F102" s="28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33" t="s">
        <v>9</v>
      </c>
      <c r="B103" s="31"/>
      <c r="C103" s="32"/>
      <c r="D103" s="39">
        <f>D101-D102</f>
        <v>377.27</v>
      </c>
      <c r="E103" s="90">
        <v>26300.0</v>
      </c>
      <c r="F103" s="41">
        <f>D103*E103</f>
        <v>9922201</v>
      </c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33" t="s">
        <v>26</v>
      </c>
      <c r="B104" s="31"/>
      <c r="C104" s="32"/>
      <c r="D104" s="39"/>
      <c r="E104" s="90"/>
      <c r="F104" s="41">
        <f>round(F103*10%,0)</f>
        <v>992220</v>
      </c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33" t="s">
        <v>16</v>
      </c>
      <c r="B105" s="31"/>
      <c r="C105" s="32"/>
      <c r="D105" s="39"/>
      <c r="E105" s="90"/>
      <c r="F105" s="41">
        <f>F103+F104</f>
        <v>10914421</v>
      </c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52" t="s">
        <v>61</v>
      </c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53"/>
      <c r="B110" s="53"/>
      <c r="C110" s="53"/>
      <c r="D110" s="53"/>
      <c r="E110" s="53"/>
      <c r="F110" s="53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9" t="s">
        <v>4</v>
      </c>
      <c r="B111" s="9" t="s">
        <v>5</v>
      </c>
      <c r="C111" s="9" t="s">
        <v>6</v>
      </c>
      <c r="D111" s="9" t="s">
        <v>7</v>
      </c>
      <c r="E111" s="9" t="s">
        <v>8</v>
      </c>
      <c r="F111" s="9" t="s">
        <v>9</v>
      </c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13">
        <v>1.0</v>
      </c>
      <c r="B112" s="54" t="s">
        <v>60</v>
      </c>
      <c r="C112" s="55">
        <v>45839.0</v>
      </c>
      <c r="D112" s="22">
        <v>398.91</v>
      </c>
      <c r="E112" s="56"/>
      <c r="F112" s="28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30" t="s">
        <v>32</v>
      </c>
      <c r="B113" s="31"/>
      <c r="C113" s="32"/>
      <c r="D113" s="24">
        <f>round(D112*(1+10%),2)</f>
        <v>438.8</v>
      </c>
      <c r="E113" s="57"/>
      <c r="F113" s="28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30" t="s">
        <v>24</v>
      </c>
      <c r="B114" s="31"/>
      <c r="C114" s="32"/>
      <c r="D114" s="24">
        <f>round(D113*10%,2)</f>
        <v>43.88</v>
      </c>
      <c r="E114" s="57"/>
      <c r="F114" s="28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33" t="s">
        <v>9</v>
      </c>
      <c r="B115" s="31"/>
      <c r="C115" s="32"/>
      <c r="D115" s="39">
        <f>D113-D114</f>
        <v>394.92</v>
      </c>
      <c r="E115" s="90">
        <v>26382.0</v>
      </c>
      <c r="F115" s="41">
        <f>D115*E115</f>
        <v>10418779.44</v>
      </c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33" t="s">
        <v>26</v>
      </c>
      <c r="B116" s="31"/>
      <c r="C116" s="32"/>
      <c r="D116" s="39"/>
      <c r="E116" s="90"/>
      <c r="F116" s="41">
        <f>round(F115*10%,0)</f>
        <v>1041878</v>
      </c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33" t="s">
        <v>16</v>
      </c>
      <c r="B117" s="31"/>
      <c r="C117" s="32"/>
      <c r="D117" s="39"/>
      <c r="E117" s="90"/>
      <c r="F117" s="41">
        <f>F115+F116</f>
        <v>11460657.44</v>
      </c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52" t="s">
        <v>61</v>
      </c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53"/>
      <c r="B123" s="53"/>
      <c r="C123" s="53"/>
      <c r="D123" s="53"/>
      <c r="E123" s="53"/>
      <c r="F123" s="53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9" t="s">
        <v>4</v>
      </c>
      <c r="B124" s="9" t="s">
        <v>5</v>
      </c>
      <c r="C124" s="9" t="s">
        <v>6</v>
      </c>
      <c r="D124" s="9" t="s">
        <v>7</v>
      </c>
      <c r="E124" s="9" t="s">
        <v>8</v>
      </c>
      <c r="F124" s="9" t="s">
        <v>9</v>
      </c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13">
        <v>1.0</v>
      </c>
      <c r="B125" s="54" t="s">
        <v>60</v>
      </c>
      <c r="C125" s="55">
        <v>45870.0</v>
      </c>
      <c r="D125" s="22">
        <v>400.64</v>
      </c>
      <c r="E125" s="56"/>
      <c r="F125" s="28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30" t="s">
        <v>32</v>
      </c>
      <c r="B126" s="31"/>
      <c r="C126" s="32"/>
      <c r="D126" s="24">
        <f>round(D125*(1+10%),2)</f>
        <v>440.7</v>
      </c>
      <c r="E126" s="57"/>
      <c r="F126" s="28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30" t="s">
        <v>24</v>
      </c>
      <c r="B127" s="31"/>
      <c r="C127" s="32"/>
      <c r="D127" s="24">
        <f>round(D126*10%,2)</f>
        <v>44.07</v>
      </c>
      <c r="E127" s="57"/>
      <c r="F127" s="28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33" t="s">
        <v>9</v>
      </c>
      <c r="B128" s="31"/>
      <c r="C128" s="32"/>
      <c r="D128" s="39">
        <f>D126-D127</f>
        <v>396.63</v>
      </c>
      <c r="E128" s="90">
        <v>26502.0</v>
      </c>
      <c r="F128" s="41">
        <f>D128*E128</f>
        <v>10511488.26</v>
      </c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33" t="s">
        <v>26</v>
      </c>
      <c r="B129" s="31"/>
      <c r="C129" s="32"/>
      <c r="D129" s="39"/>
      <c r="E129" s="90"/>
      <c r="F129" s="41">
        <f>round(F128*10%,0)</f>
        <v>1051149</v>
      </c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33" t="s">
        <v>16</v>
      </c>
      <c r="B130" s="31"/>
      <c r="C130" s="32"/>
      <c r="D130" s="39"/>
      <c r="E130" s="90"/>
      <c r="F130" s="41">
        <f>F128+F129</f>
        <v>11562637.26</v>
      </c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52" t="s">
        <v>61</v>
      </c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53"/>
      <c r="B137" s="53"/>
      <c r="C137" s="53"/>
      <c r="D137" s="53"/>
      <c r="E137" s="53"/>
      <c r="F137" s="53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9" t="s">
        <v>4</v>
      </c>
      <c r="B138" s="9" t="s">
        <v>5</v>
      </c>
      <c r="C138" s="9" t="s">
        <v>6</v>
      </c>
      <c r="D138" s="9" t="s">
        <v>7</v>
      </c>
      <c r="E138" s="9" t="s">
        <v>8</v>
      </c>
      <c r="F138" s="9" t="s">
        <v>9</v>
      </c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13">
        <v>1.0</v>
      </c>
      <c r="B139" s="54" t="s">
        <v>60</v>
      </c>
      <c r="C139" s="55">
        <v>45901.0</v>
      </c>
      <c r="D139" s="22">
        <v>395.29</v>
      </c>
      <c r="E139" s="56"/>
      <c r="F139" s="28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30" t="s">
        <v>32</v>
      </c>
      <c r="B140" s="31"/>
      <c r="C140" s="32"/>
      <c r="D140" s="24">
        <f>round(D139*(1+10%),2)</f>
        <v>434.82</v>
      </c>
      <c r="E140" s="57"/>
      <c r="F140" s="28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30" t="s">
        <v>24</v>
      </c>
      <c r="B141" s="31"/>
      <c r="C141" s="32"/>
      <c r="D141" s="24">
        <f>round(D140*10%,2)</f>
        <v>43.48</v>
      </c>
      <c r="E141" s="57"/>
      <c r="F141" s="28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33" t="s">
        <v>9</v>
      </c>
      <c r="B142" s="31"/>
      <c r="C142" s="32"/>
      <c r="D142" s="39">
        <f>D140-D141</f>
        <v>391.34</v>
      </c>
      <c r="E142" s="90">
        <v>26446.0</v>
      </c>
      <c r="F142" s="41">
        <f>D142*E142</f>
        <v>10349377.64</v>
      </c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33" t="s">
        <v>26</v>
      </c>
      <c r="B143" s="31"/>
      <c r="C143" s="32"/>
      <c r="D143" s="39"/>
      <c r="E143" s="90"/>
      <c r="F143" s="41">
        <f>round(F142*10%,0)</f>
        <v>1034938</v>
      </c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33" t="s">
        <v>16</v>
      </c>
      <c r="B144" s="31"/>
      <c r="C144" s="32"/>
      <c r="D144" s="39"/>
      <c r="E144" s="90"/>
      <c r="F144" s="41">
        <f>F142+F143</f>
        <v>11384315.64</v>
      </c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52" t="s">
        <v>61</v>
      </c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53"/>
      <c r="B151" s="53"/>
      <c r="C151" s="53"/>
      <c r="D151" s="53"/>
      <c r="E151" s="53"/>
      <c r="F151" s="53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9" t="s">
        <v>4</v>
      </c>
      <c r="B152" s="9" t="s">
        <v>5</v>
      </c>
      <c r="C152" s="9" t="s">
        <v>6</v>
      </c>
      <c r="D152" s="9" t="s">
        <v>7</v>
      </c>
      <c r="E152" s="9" t="s">
        <v>8</v>
      </c>
      <c r="F152" s="9" t="s">
        <v>9</v>
      </c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13">
        <v>1.0</v>
      </c>
      <c r="B153" s="54" t="s">
        <v>60</v>
      </c>
      <c r="C153" s="55">
        <v>45931.0</v>
      </c>
      <c r="D153" s="22">
        <v>419.25</v>
      </c>
      <c r="E153" s="56"/>
      <c r="F153" s="28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30" t="s">
        <v>32</v>
      </c>
      <c r="B154" s="31"/>
      <c r="C154" s="32"/>
      <c r="D154" s="24">
        <f>round(D153*(1+10%),2)</f>
        <v>461.18</v>
      </c>
      <c r="E154" s="57"/>
      <c r="F154" s="28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30" t="s">
        <v>24</v>
      </c>
      <c r="B155" s="31"/>
      <c r="C155" s="32"/>
      <c r="D155" s="24">
        <f>round(D154*10%,2)</f>
        <v>46.12</v>
      </c>
      <c r="E155" s="57"/>
      <c r="F155" s="28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33" t="s">
        <v>9</v>
      </c>
      <c r="B156" s="31"/>
      <c r="C156" s="32"/>
      <c r="D156" s="39">
        <f>D154-D155</f>
        <v>415.06</v>
      </c>
      <c r="E156" s="90">
        <v>26347.0</v>
      </c>
      <c r="F156" s="41">
        <f>D156*E156</f>
        <v>10935585.82</v>
      </c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33" t="s">
        <v>26</v>
      </c>
      <c r="B157" s="31"/>
      <c r="C157" s="32"/>
      <c r="D157" s="39"/>
      <c r="E157" s="90"/>
      <c r="F157" s="41">
        <f>round(F156*10%,0)</f>
        <v>1093559</v>
      </c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33" t="s">
        <v>16</v>
      </c>
      <c r="B158" s="31"/>
      <c r="C158" s="32"/>
      <c r="D158" s="39"/>
      <c r="E158" s="90"/>
      <c r="F158" s="41">
        <f>F156+F157</f>
        <v>12029144.82</v>
      </c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52" t="s">
        <v>61</v>
      </c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53"/>
      <c r="B164" s="53"/>
      <c r="C164" s="53"/>
      <c r="D164" s="53"/>
      <c r="E164" s="53"/>
      <c r="F164" s="53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9" t="s">
        <v>4</v>
      </c>
      <c r="B165" s="9" t="s">
        <v>5</v>
      </c>
      <c r="C165" s="9" t="s">
        <v>6</v>
      </c>
      <c r="D165" s="9" t="s">
        <v>7</v>
      </c>
      <c r="E165" s="9" t="s">
        <v>8</v>
      </c>
      <c r="F165" s="9" t="s">
        <v>9</v>
      </c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13">
        <v>1.0</v>
      </c>
      <c r="B166" s="54" t="s">
        <v>60</v>
      </c>
      <c r="C166" s="55">
        <v>45962.0</v>
      </c>
      <c r="D166" s="22">
        <v>435.34</v>
      </c>
      <c r="E166" s="56"/>
      <c r="F166" s="28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30" t="s">
        <v>32</v>
      </c>
      <c r="B167" s="31"/>
      <c r="C167" s="32"/>
      <c r="D167" s="24">
        <f>round(D166*(1+10%),2)</f>
        <v>478.87</v>
      </c>
      <c r="E167" s="57"/>
      <c r="F167" s="28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30" t="s">
        <v>24</v>
      </c>
      <c r="B168" s="31"/>
      <c r="C168" s="32"/>
      <c r="D168" s="24">
        <f>round(D167*10%,2)</f>
        <v>47.89</v>
      </c>
      <c r="E168" s="57"/>
      <c r="F168" s="28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33" t="s">
        <v>9</v>
      </c>
      <c r="B169" s="31"/>
      <c r="C169" s="32"/>
      <c r="D169" s="39">
        <f>D167-D168</f>
        <v>430.98</v>
      </c>
      <c r="E169" s="90">
        <v>26412.0</v>
      </c>
      <c r="F169" s="41">
        <f>D169*E169</f>
        <v>11383043.76</v>
      </c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33" t="s">
        <v>26</v>
      </c>
      <c r="B170" s="31"/>
      <c r="C170" s="32"/>
      <c r="D170" s="39"/>
      <c r="E170" s="90"/>
      <c r="F170" s="41">
        <f>round(F169*10%,0)</f>
        <v>1138304</v>
      </c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33" t="s">
        <v>16</v>
      </c>
      <c r="B171" s="31"/>
      <c r="C171" s="32"/>
      <c r="D171" s="39"/>
      <c r="E171" s="90"/>
      <c r="F171" s="41">
        <f>F169+F170</f>
        <v>12521347.76</v>
      </c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52" t="s">
        <v>61</v>
      </c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53"/>
      <c r="B178" s="53"/>
      <c r="C178" s="53"/>
      <c r="D178" s="53"/>
      <c r="E178" s="53"/>
      <c r="F178" s="53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9" t="s">
        <v>4</v>
      </c>
      <c r="B179" s="9" t="s">
        <v>5</v>
      </c>
      <c r="C179" s="9" t="s">
        <v>6</v>
      </c>
      <c r="D179" s="9" t="s">
        <v>7</v>
      </c>
      <c r="E179" s="9" t="s">
        <v>8</v>
      </c>
      <c r="F179" s="9" t="s">
        <v>9</v>
      </c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13">
        <v>1.0</v>
      </c>
      <c r="B180" s="54" t="s">
        <v>60</v>
      </c>
      <c r="C180" s="55">
        <v>45992.0</v>
      </c>
      <c r="D180" s="22">
        <v>438.41</v>
      </c>
      <c r="E180" s="56"/>
      <c r="F180" s="28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30" t="s">
        <v>32</v>
      </c>
      <c r="B181" s="31"/>
      <c r="C181" s="32"/>
      <c r="D181" s="24">
        <f>round(D180*(1+10%),2)</f>
        <v>482.25</v>
      </c>
      <c r="E181" s="57"/>
      <c r="F181" s="28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30" t="s">
        <v>24</v>
      </c>
      <c r="B182" s="31"/>
      <c r="C182" s="32"/>
      <c r="D182" s="24">
        <f>round(D181*10%,2)</f>
        <v>48.23</v>
      </c>
      <c r="E182" s="57"/>
      <c r="F182" s="28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33" t="s">
        <v>9</v>
      </c>
      <c r="B183" s="31"/>
      <c r="C183" s="32"/>
      <c r="D183" s="39">
        <f>D181-D182</f>
        <v>434.02</v>
      </c>
      <c r="E183" s="90">
        <v>26377.0</v>
      </c>
      <c r="F183" s="41">
        <f>D183*E183</f>
        <v>11448145.54</v>
      </c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33" t="s">
        <v>26</v>
      </c>
      <c r="B184" s="31"/>
      <c r="C184" s="32"/>
      <c r="D184" s="39"/>
      <c r="E184" s="90"/>
      <c r="F184" s="41">
        <f>round(F183*10%,0)</f>
        <v>1144815</v>
      </c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33" t="s">
        <v>16</v>
      </c>
      <c r="B185" s="31"/>
      <c r="C185" s="32"/>
      <c r="D185" s="39"/>
      <c r="E185" s="90"/>
      <c r="F185" s="41">
        <f>F183+F184</f>
        <v>12592960.54</v>
      </c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52" t="s">
        <v>61</v>
      </c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53"/>
      <c r="B192" s="53"/>
      <c r="C192" s="53"/>
      <c r="D192" s="53"/>
      <c r="E192" s="53"/>
      <c r="F192" s="53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9" t="s">
        <v>4</v>
      </c>
      <c r="B193" s="9" t="s">
        <v>5</v>
      </c>
      <c r="C193" s="9" t="s">
        <v>6</v>
      </c>
      <c r="D193" s="9" t="s">
        <v>7</v>
      </c>
      <c r="E193" s="9" t="s">
        <v>8</v>
      </c>
      <c r="F193" s="9" t="s">
        <v>9</v>
      </c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13">
        <v>1.0</v>
      </c>
      <c r="B194" s="54" t="s">
        <v>60</v>
      </c>
      <c r="C194" s="55">
        <v>46023.0</v>
      </c>
      <c r="D194" s="22">
        <v>442.17</v>
      </c>
      <c r="E194" s="56"/>
      <c r="F194" s="28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30" t="s">
        <v>32</v>
      </c>
      <c r="B195" s="31"/>
      <c r="C195" s="32"/>
      <c r="D195" s="24">
        <f>round(D194*(1+10%),2)</f>
        <v>486.39</v>
      </c>
      <c r="E195" s="57"/>
      <c r="F195" s="28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30" t="s">
        <v>24</v>
      </c>
      <c r="B196" s="31"/>
      <c r="C196" s="32"/>
      <c r="D196" s="24">
        <f>round(D195*10%,2)</f>
        <v>48.64</v>
      </c>
      <c r="E196" s="57"/>
      <c r="F196" s="28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33" t="s">
        <v>9</v>
      </c>
      <c r="B197" s="31"/>
      <c r="C197" s="32"/>
      <c r="D197" s="39">
        <f>D195-D196</f>
        <v>437.75</v>
      </c>
      <c r="E197" s="90">
        <v>26145.0</v>
      </c>
      <c r="F197" s="41">
        <f>D197*E197</f>
        <v>11444973.75</v>
      </c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33" t="s">
        <v>26</v>
      </c>
      <c r="B198" s="31"/>
      <c r="C198" s="32"/>
      <c r="D198" s="39"/>
      <c r="E198" s="90"/>
      <c r="F198" s="41">
        <f>round(F197*10%,0)</f>
        <v>1144497</v>
      </c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33" t="s">
        <v>16</v>
      </c>
      <c r="B199" s="31"/>
      <c r="C199" s="32"/>
      <c r="D199" s="39"/>
      <c r="E199" s="90"/>
      <c r="F199" s="41">
        <f>F197+F198</f>
        <v>12589470.75</v>
      </c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52" t="s">
        <v>61</v>
      </c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53"/>
      <c r="B206" s="53"/>
      <c r="C206" s="53"/>
      <c r="D206" s="53"/>
      <c r="E206" s="53"/>
      <c r="F206" s="53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9" t="s">
        <v>4</v>
      </c>
      <c r="B207" s="9" t="s">
        <v>5</v>
      </c>
      <c r="C207" s="9" t="s">
        <v>6</v>
      </c>
      <c r="D207" s="9" t="s">
        <v>7</v>
      </c>
      <c r="E207" s="9" t="s">
        <v>8</v>
      </c>
      <c r="F207" s="9" t="s">
        <v>9</v>
      </c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13">
        <v>1.0</v>
      </c>
      <c r="B208" s="54" t="s">
        <v>60</v>
      </c>
      <c r="C208" s="55">
        <v>46054.0</v>
      </c>
      <c r="D208" s="22">
        <v>442.59</v>
      </c>
      <c r="E208" s="56"/>
      <c r="F208" s="28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30" t="s">
        <v>32</v>
      </c>
      <c r="B209" s="31"/>
      <c r="C209" s="32"/>
      <c r="D209" s="24">
        <f>round(D208*(1+10%),2)</f>
        <v>486.85</v>
      </c>
      <c r="E209" s="57"/>
      <c r="F209" s="28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30" t="s">
        <v>24</v>
      </c>
      <c r="B210" s="31"/>
      <c r="C210" s="32"/>
      <c r="D210" s="24">
        <f>round(D209*10%,2)</f>
        <v>48.69</v>
      </c>
      <c r="E210" s="57"/>
      <c r="F210" s="28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33" t="s">
        <v>9</v>
      </c>
      <c r="B211" s="31"/>
      <c r="C211" s="32"/>
      <c r="D211" s="39">
        <f>D209-D210</f>
        <v>438.16</v>
      </c>
      <c r="E211" s="90">
        <v>26240.0</v>
      </c>
      <c r="F211" s="41">
        <f>D211*E211</f>
        <v>11497318.4</v>
      </c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33" t="s">
        <v>26</v>
      </c>
      <c r="B212" s="31"/>
      <c r="C212" s="32"/>
      <c r="D212" s="39"/>
      <c r="E212" s="90"/>
      <c r="F212" s="41">
        <f>round(F211*10%,0)</f>
        <v>1149732</v>
      </c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33" t="s">
        <v>16</v>
      </c>
      <c r="B213" s="31"/>
      <c r="C213" s="32"/>
      <c r="D213" s="39"/>
      <c r="E213" s="90"/>
      <c r="F213" s="41">
        <f>F211+F212</f>
        <v>12647050.4</v>
      </c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52" t="s">
        <v>61</v>
      </c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53"/>
      <c r="B219" s="53"/>
      <c r="C219" s="53"/>
      <c r="D219" s="53"/>
      <c r="E219" s="53"/>
      <c r="F219" s="53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9" t="s">
        <v>4</v>
      </c>
      <c r="B220" s="9" t="s">
        <v>5</v>
      </c>
      <c r="C220" s="9" t="s">
        <v>6</v>
      </c>
      <c r="D220" s="9" t="s">
        <v>7</v>
      </c>
      <c r="E220" s="9" t="s">
        <v>8</v>
      </c>
      <c r="F220" s="9" t="s">
        <v>9</v>
      </c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13">
        <v>1.0</v>
      </c>
      <c r="B221" s="54" t="s">
        <v>60</v>
      </c>
      <c r="C221" s="55">
        <v>46082.0</v>
      </c>
      <c r="D221" s="22">
        <v>460.48</v>
      </c>
      <c r="E221" s="56"/>
      <c r="F221" s="28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30" t="s">
        <v>32</v>
      </c>
      <c r="B222" s="31"/>
      <c r="C222" s="32"/>
      <c r="D222" s="24">
        <f>round(D221*(1+10%),2)</f>
        <v>506.53</v>
      </c>
      <c r="E222" s="57"/>
      <c r="F222" s="28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30" t="s">
        <v>24</v>
      </c>
      <c r="B223" s="31"/>
      <c r="C223" s="32"/>
      <c r="D223" s="24">
        <f>round(D222*10%,2)</f>
        <v>50.65</v>
      </c>
      <c r="E223" s="57"/>
      <c r="F223" s="28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33" t="s">
        <v>9</v>
      </c>
      <c r="B224" s="31"/>
      <c r="C224" s="32"/>
      <c r="D224" s="39">
        <f>D222-D223</f>
        <v>455.88</v>
      </c>
      <c r="E224" s="90">
        <v>26357.0</v>
      </c>
      <c r="F224" s="41">
        <f>D224*E224</f>
        <v>12015629.16</v>
      </c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33" t="s">
        <v>26</v>
      </c>
      <c r="B225" s="31"/>
      <c r="C225" s="32"/>
      <c r="D225" s="39"/>
      <c r="E225" s="90"/>
      <c r="F225" s="41">
        <f>round(F224*10%,0)</f>
        <v>1201563</v>
      </c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33" t="s">
        <v>16</v>
      </c>
      <c r="B226" s="31"/>
      <c r="C226" s="32"/>
      <c r="D226" s="39"/>
      <c r="E226" s="90"/>
      <c r="F226" s="41">
        <f>F224+F225</f>
        <v>13217192.16</v>
      </c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52" t="s">
        <v>61</v>
      </c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53"/>
      <c r="B232" s="53"/>
      <c r="C232" s="53"/>
      <c r="D232" s="53"/>
      <c r="E232" s="53"/>
      <c r="F232" s="53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9" t="s">
        <v>4</v>
      </c>
      <c r="B233" s="9" t="s">
        <v>5</v>
      </c>
      <c r="C233" s="9" t="s">
        <v>6</v>
      </c>
      <c r="D233" s="9" t="s">
        <v>7</v>
      </c>
      <c r="E233" s="9" t="s">
        <v>8</v>
      </c>
      <c r="F233" s="9" t="s">
        <v>9</v>
      </c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13">
        <v>1.0</v>
      </c>
      <c r="B234" s="54" t="s">
        <v>60</v>
      </c>
      <c r="C234" s="55">
        <v>46113.0</v>
      </c>
      <c r="D234" s="22">
        <v>501.15</v>
      </c>
      <c r="E234" s="56"/>
      <c r="F234" s="28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30" t="s">
        <v>32</v>
      </c>
      <c r="B235" s="31"/>
      <c r="C235" s="32"/>
      <c r="D235" s="24">
        <f>round(D234*(1+10%),2)</f>
        <v>551.27</v>
      </c>
      <c r="E235" s="57"/>
      <c r="F235" s="28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30" t="s">
        <v>24</v>
      </c>
      <c r="B236" s="31"/>
      <c r="C236" s="32"/>
      <c r="D236" s="24">
        <f>round(D235*10%,2)</f>
        <v>55.13</v>
      </c>
      <c r="E236" s="57"/>
      <c r="F236" s="28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33" t="s">
        <v>9</v>
      </c>
      <c r="B237" s="31"/>
      <c r="C237" s="32"/>
      <c r="D237" s="39">
        <f>D235-D236</f>
        <v>496.14</v>
      </c>
      <c r="E237" s="90">
        <v>26368.0</v>
      </c>
      <c r="F237" s="41">
        <f>D237*E237</f>
        <v>13082219.52</v>
      </c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33" t="s">
        <v>26</v>
      </c>
      <c r="B238" s="31"/>
      <c r="C238" s="32"/>
      <c r="D238" s="39"/>
      <c r="E238" s="90"/>
      <c r="F238" s="41">
        <f>round(F237*10%,0)</f>
        <v>1308222</v>
      </c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33" t="s">
        <v>16</v>
      </c>
      <c r="B239" s="31"/>
      <c r="C239" s="32"/>
      <c r="D239" s="39"/>
      <c r="E239" s="90"/>
      <c r="F239" s="41">
        <f>F237+F238</f>
        <v>14390441.52</v>
      </c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52" t="s">
        <v>61</v>
      </c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53"/>
      <c r="B246" s="53"/>
      <c r="C246" s="53"/>
      <c r="D246" s="53"/>
      <c r="E246" s="53"/>
      <c r="F246" s="53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9" t="s">
        <v>4</v>
      </c>
      <c r="B247" s="9" t="s">
        <v>5</v>
      </c>
      <c r="C247" s="9" t="s">
        <v>6</v>
      </c>
      <c r="D247" s="9" t="s">
        <v>7</v>
      </c>
      <c r="E247" s="9" t="s">
        <v>8</v>
      </c>
      <c r="F247" s="9" t="s">
        <v>9</v>
      </c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13">
        <v>1.0</v>
      </c>
      <c r="B248" s="54" t="s">
        <v>60</v>
      </c>
      <c r="C248" s="55">
        <v>46143.0</v>
      </c>
      <c r="D248" s="22">
        <v>549.4</v>
      </c>
      <c r="E248" s="56"/>
      <c r="F248" s="28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30" t="s">
        <v>32</v>
      </c>
      <c r="B249" s="31"/>
      <c r="C249" s="32"/>
      <c r="D249" s="24">
        <f>round(D248*(1+10%),2)</f>
        <v>604.34</v>
      </c>
      <c r="E249" s="57"/>
      <c r="F249" s="28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30" t="s">
        <v>24</v>
      </c>
      <c r="B250" s="31"/>
      <c r="C250" s="32"/>
      <c r="D250" s="24">
        <f>round(D249*10%,2)</f>
        <v>60.43</v>
      </c>
      <c r="E250" s="57"/>
      <c r="F250" s="28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33" t="s">
        <v>9</v>
      </c>
      <c r="B251" s="31"/>
      <c r="C251" s="32"/>
      <c r="D251" s="39">
        <f>D249-D250</f>
        <v>543.91</v>
      </c>
      <c r="E251" s="90">
        <v>26395.0</v>
      </c>
      <c r="F251" s="41">
        <f>D251*E251</f>
        <v>14356504.45</v>
      </c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33" t="s">
        <v>26</v>
      </c>
      <c r="B252" s="31"/>
      <c r="C252" s="32"/>
      <c r="D252" s="39"/>
      <c r="E252" s="90"/>
      <c r="F252" s="41">
        <f>round(F251*10%,0)</f>
        <v>1435650</v>
      </c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33" t="s">
        <v>16</v>
      </c>
      <c r="B253" s="31"/>
      <c r="C253" s="32"/>
      <c r="D253" s="39"/>
      <c r="E253" s="90"/>
      <c r="F253" s="41">
        <f>F251+F252</f>
        <v>15792154.45</v>
      </c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52" t="s">
        <v>61</v>
      </c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53"/>
      <c r="B260" s="53"/>
      <c r="C260" s="53"/>
      <c r="D260" s="53"/>
      <c r="E260" s="53"/>
      <c r="F260" s="53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9" t="s">
        <v>4</v>
      </c>
      <c r="B261" s="9" t="s">
        <v>5</v>
      </c>
      <c r="C261" s="9" t="s">
        <v>6</v>
      </c>
      <c r="D261" s="9" t="s">
        <v>7</v>
      </c>
      <c r="E261" s="9" t="s">
        <v>8</v>
      </c>
      <c r="F261" s="9" t="s">
        <v>9</v>
      </c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13">
        <v>1.0</v>
      </c>
      <c r="B262" s="54" t="s">
        <v>60</v>
      </c>
      <c r="C262" s="55">
        <v>46174.0</v>
      </c>
      <c r="D262" s="22">
        <v>549.96</v>
      </c>
      <c r="E262" s="56"/>
      <c r="F262" s="28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30" t="s">
        <v>32</v>
      </c>
      <c r="B263" s="31"/>
      <c r="C263" s="32"/>
      <c r="D263" s="24">
        <f>round(D262*(1+10%),2)</f>
        <v>604.96</v>
      </c>
      <c r="E263" s="57"/>
      <c r="F263" s="28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30" t="s">
        <v>24</v>
      </c>
      <c r="B264" s="31"/>
      <c r="C264" s="32"/>
      <c r="D264" s="24">
        <f>round(D263*10%,2)</f>
        <v>60.5</v>
      </c>
      <c r="E264" s="57"/>
      <c r="F264" s="28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33" t="s">
        <v>9</v>
      </c>
      <c r="B265" s="31"/>
      <c r="C265" s="32"/>
      <c r="D265" s="39">
        <f>D263-D264</f>
        <v>544.46</v>
      </c>
      <c r="E265" s="90">
        <v>26466.0</v>
      </c>
      <c r="F265" s="41">
        <f>D265*E265</f>
        <v>14409678.36</v>
      </c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33" t="s">
        <v>26</v>
      </c>
      <c r="B266" s="31"/>
      <c r="C266" s="32"/>
      <c r="D266" s="39"/>
      <c r="E266" s="90"/>
      <c r="F266" s="41">
        <f>round(F265*10%,0)</f>
        <v>1440968</v>
      </c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33" t="s">
        <v>16</v>
      </c>
      <c r="B267" s="31"/>
      <c r="C267" s="32"/>
      <c r="D267" s="39"/>
      <c r="E267" s="90"/>
      <c r="F267" s="41">
        <f>F265+F266</f>
        <v>15850646.36</v>
      </c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52" t="s">
        <v>61</v>
      </c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53"/>
      <c r="B274" s="53"/>
      <c r="C274" s="53"/>
      <c r="D274" s="53"/>
      <c r="E274" s="53"/>
      <c r="F274" s="53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9" t="s">
        <v>4</v>
      </c>
      <c r="B275" s="9" t="s">
        <v>5</v>
      </c>
      <c r="C275" s="9" t="s">
        <v>6</v>
      </c>
      <c r="D275" s="9" t="s">
        <v>7</v>
      </c>
      <c r="E275" s="9" t="s">
        <v>8</v>
      </c>
      <c r="F275" s="9" t="s">
        <v>9</v>
      </c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13">
        <v>1.0</v>
      </c>
      <c r="B276" s="54" t="s">
        <v>60</v>
      </c>
      <c r="C276" s="55">
        <v>46204.0</v>
      </c>
      <c r="D276" s="22">
        <v>549.81</v>
      </c>
      <c r="E276" s="56"/>
      <c r="F276" s="28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30" t="s">
        <v>32</v>
      </c>
      <c r="B277" s="31"/>
      <c r="C277" s="32"/>
      <c r="D277" s="24">
        <f>round(D276*(1+10%),2)</f>
        <v>604.79</v>
      </c>
      <c r="E277" s="57"/>
      <c r="F277" s="28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30" t="s">
        <v>24</v>
      </c>
      <c r="B278" s="31"/>
      <c r="C278" s="32"/>
      <c r="D278" s="24">
        <f>round(D277*10%,2)</f>
        <v>60.48</v>
      </c>
      <c r="E278" s="57"/>
      <c r="F278" s="28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33" t="s">
        <v>9</v>
      </c>
      <c r="B279" s="31"/>
      <c r="C279" s="32"/>
      <c r="D279" s="39">
        <f>D277-D278</f>
        <v>544.31</v>
      </c>
      <c r="E279" s="90">
        <v>26475.0</v>
      </c>
      <c r="F279" s="41">
        <f>D279*E279</f>
        <v>14410607.25</v>
      </c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33" t="s">
        <v>26</v>
      </c>
      <c r="B280" s="31"/>
      <c r="C280" s="32"/>
      <c r="D280" s="39"/>
      <c r="E280" s="90"/>
      <c r="F280" s="41">
        <f>round(F279*10%,0)</f>
        <v>1441061</v>
      </c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33" t="s">
        <v>16</v>
      </c>
      <c r="B281" s="31"/>
      <c r="C281" s="32"/>
      <c r="D281" s="39"/>
      <c r="E281" s="90"/>
      <c r="F281" s="41">
        <f>F279+F280</f>
        <v>15851668.25</v>
      </c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</sheetData>
  <mergeCells count="132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49:F49"/>
    <mergeCell ref="A53:C53"/>
    <mergeCell ref="A54:C54"/>
    <mergeCell ref="A55:C55"/>
    <mergeCell ref="A56:C56"/>
    <mergeCell ref="A57:C57"/>
    <mergeCell ref="A61:F61"/>
    <mergeCell ref="A65:C65"/>
    <mergeCell ref="A66:C66"/>
    <mergeCell ref="A67:C67"/>
    <mergeCell ref="A68:C68"/>
    <mergeCell ref="A69:C69"/>
    <mergeCell ref="A73:F73"/>
    <mergeCell ref="A77:C77"/>
    <mergeCell ref="A78:C78"/>
    <mergeCell ref="A79:C79"/>
    <mergeCell ref="A80:C80"/>
    <mergeCell ref="A81:C81"/>
    <mergeCell ref="A85:F85"/>
    <mergeCell ref="A89:C89"/>
    <mergeCell ref="A90:C90"/>
    <mergeCell ref="A91:C91"/>
    <mergeCell ref="A92:C92"/>
    <mergeCell ref="A93:C93"/>
    <mergeCell ref="A97:F97"/>
    <mergeCell ref="A195:C195"/>
    <mergeCell ref="A196:C196"/>
    <mergeCell ref="A197:C197"/>
    <mergeCell ref="A198:C198"/>
    <mergeCell ref="A199:C199"/>
    <mergeCell ref="A205:F205"/>
    <mergeCell ref="A209:C209"/>
    <mergeCell ref="A210:C210"/>
    <mergeCell ref="A211:C211"/>
    <mergeCell ref="A212:C212"/>
    <mergeCell ref="A213:C213"/>
    <mergeCell ref="A218:F218"/>
    <mergeCell ref="A222:C222"/>
    <mergeCell ref="A223:C223"/>
    <mergeCell ref="A238:C238"/>
    <mergeCell ref="A239:C239"/>
    <mergeCell ref="A245:F245"/>
    <mergeCell ref="A249:C249"/>
    <mergeCell ref="A250:C250"/>
    <mergeCell ref="A251:C251"/>
    <mergeCell ref="A252:C252"/>
    <mergeCell ref="A273:F273"/>
    <mergeCell ref="A277:C277"/>
    <mergeCell ref="A278:C278"/>
    <mergeCell ref="A279:C279"/>
    <mergeCell ref="A280:C280"/>
    <mergeCell ref="A281:C281"/>
    <mergeCell ref="A253:C253"/>
    <mergeCell ref="A259:F259"/>
    <mergeCell ref="A263:C263"/>
    <mergeCell ref="A264:C264"/>
    <mergeCell ref="A265:C265"/>
    <mergeCell ref="A266:C266"/>
    <mergeCell ref="A267:C267"/>
    <mergeCell ref="A101:C101"/>
    <mergeCell ref="A102:C102"/>
    <mergeCell ref="A103:C103"/>
    <mergeCell ref="A104:C104"/>
    <mergeCell ref="A105:C105"/>
    <mergeCell ref="A109:F109"/>
    <mergeCell ref="A113:C113"/>
    <mergeCell ref="A114:C114"/>
    <mergeCell ref="A115:C115"/>
    <mergeCell ref="A116:C116"/>
    <mergeCell ref="A117:C117"/>
    <mergeCell ref="A122:F122"/>
    <mergeCell ref="A126:C126"/>
    <mergeCell ref="A127:C127"/>
    <mergeCell ref="A128:C128"/>
    <mergeCell ref="A129:C129"/>
    <mergeCell ref="A130:C130"/>
    <mergeCell ref="A136:F136"/>
    <mergeCell ref="A140:C140"/>
    <mergeCell ref="A141:C141"/>
    <mergeCell ref="A142:C142"/>
    <mergeCell ref="A143:C143"/>
    <mergeCell ref="A144:C144"/>
    <mergeCell ref="A150:F150"/>
    <mergeCell ref="A154:C154"/>
    <mergeCell ref="A155:C155"/>
    <mergeCell ref="A156:C156"/>
    <mergeCell ref="A157:C157"/>
    <mergeCell ref="A158:C158"/>
    <mergeCell ref="A163:F163"/>
    <mergeCell ref="A167:C167"/>
    <mergeCell ref="A168:C168"/>
    <mergeCell ref="A169:C169"/>
    <mergeCell ref="A170:C170"/>
    <mergeCell ref="A171:C171"/>
    <mergeCell ref="A177:F177"/>
    <mergeCell ref="A181:C181"/>
    <mergeCell ref="A182:C182"/>
    <mergeCell ref="A183:C183"/>
    <mergeCell ref="A184:C184"/>
    <mergeCell ref="A185:C185"/>
    <mergeCell ref="A191:F191"/>
    <mergeCell ref="A224:C224"/>
    <mergeCell ref="A225:C225"/>
    <mergeCell ref="A226:C226"/>
    <mergeCell ref="A231:F231"/>
    <mergeCell ref="A235:C235"/>
    <mergeCell ref="A236:C236"/>
    <mergeCell ref="A237:C23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25"/>
    <col customWidth="1" min="2" max="2" width="58.63"/>
    <col customWidth="1" min="3" max="3" width="11.0"/>
    <col customWidth="1" min="4" max="4" width="15.88"/>
    <col customWidth="1" min="5" max="5" width="12.63"/>
    <col customWidth="1" min="6" max="6" width="16.0"/>
  </cols>
  <sheetData>
    <row r="1">
      <c r="A1" s="52" t="s">
        <v>62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53"/>
      <c r="B2" s="53"/>
      <c r="C2" s="53"/>
      <c r="D2" s="53"/>
      <c r="E2" s="53"/>
      <c r="F2" s="53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13">
        <v>1.0</v>
      </c>
      <c r="B4" s="54" t="s">
        <v>63</v>
      </c>
      <c r="C4" s="55">
        <v>45627.0</v>
      </c>
      <c r="D4" s="22">
        <v>11446.29</v>
      </c>
      <c r="E4" s="56"/>
      <c r="F4" s="28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30" t="s">
        <v>21</v>
      </c>
      <c r="B5" s="31"/>
      <c r="C5" s="32"/>
      <c r="D5" s="24">
        <f>round(D4*(1+5.26%),2)</f>
        <v>12048.36</v>
      </c>
      <c r="E5" s="57"/>
      <c r="F5" s="28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30" t="s">
        <v>24</v>
      </c>
      <c r="B6" s="31"/>
      <c r="C6" s="32"/>
      <c r="D6" s="24">
        <f>round(D5*10%,2)</f>
        <v>1204.84</v>
      </c>
      <c r="E6" s="57"/>
      <c r="F6" s="28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33" t="s">
        <v>9</v>
      </c>
      <c r="B7" s="31"/>
      <c r="C7" s="32"/>
      <c r="D7" s="39">
        <f>D5-D6</f>
        <v>10843.52</v>
      </c>
      <c r="E7" s="90">
        <v>25551.0</v>
      </c>
      <c r="F7" s="41">
        <f>D7*E7</f>
        <v>277062779.5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33" t="s">
        <v>26</v>
      </c>
      <c r="B8" s="31"/>
      <c r="C8" s="32"/>
      <c r="D8" s="39"/>
      <c r="E8" s="90"/>
      <c r="F8" s="41">
        <f>round(F7*10%,0)</f>
        <v>27706278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33" t="s">
        <v>16</v>
      </c>
      <c r="B9" s="31"/>
      <c r="C9" s="32"/>
      <c r="D9" s="39"/>
      <c r="E9" s="90"/>
      <c r="F9" s="41">
        <f>F7+F8</f>
        <v>304769057.5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52" t="s">
        <v>62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53"/>
      <c r="B14" s="53"/>
      <c r="C14" s="53"/>
      <c r="D14" s="53"/>
      <c r="E14" s="53"/>
      <c r="F14" s="53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13">
        <v>1.0</v>
      </c>
      <c r="B16" s="54" t="s">
        <v>63</v>
      </c>
      <c r="C16" s="55">
        <v>45658.0</v>
      </c>
      <c r="D16" s="22">
        <v>11483.97</v>
      </c>
      <c r="E16" s="56"/>
      <c r="F16" s="28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30" t="s">
        <v>21</v>
      </c>
      <c r="B17" s="31"/>
      <c r="C17" s="32"/>
      <c r="D17" s="24">
        <f>round(D16*(1+5.26%),2)</f>
        <v>12088.03</v>
      </c>
      <c r="E17" s="57"/>
      <c r="F17" s="28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30" t="s">
        <v>24</v>
      </c>
      <c r="B18" s="31"/>
      <c r="C18" s="32"/>
      <c r="D18" s="24">
        <f>round(D17*10%,2)</f>
        <v>1208.8</v>
      </c>
      <c r="E18" s="57"/>
      <c r="F18" s="28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33" t="s">
        <v>9</v>
      </c>
      <c r="B19" s="31"/>
      <c r="C19" s="32"/>
      <c r="D19" s="39">
        <f>D17-D18</f>
        <v>10879.23</v>
      </c>
      <c r="E19" s="90">
        <v>25295.0</v>
      </c>
      <c r="F19" s="41">
        <f>D19*E19</f>
        <v>275190122.9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33" t="s">
        <v>26</v>
      </c>
      <c r="B20" s="31"/>
      <c r="C20" s="32"/>
      <c r="D20" s="39"/>
      <c r="E20" s="90"/>
      <c r="F20" s="41">
        <f>round(F19*10%,0)</f>
        <v>27519012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33" t="s">
        <v>16</v>
      </c>
      <c r="B21" s="31"/>
      <c r="C21" s="32"/>
      <c r="D21" s="39"/>
      <c r="E21" s="90"/>
      <c r="F21" s="41">
        <f>F19+F20</f>
        <v>302709134.9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52" t="s">
        <v>62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53"/>
      <c r="B26" s="53"/>
      <c r="C26" s="53"/>
      <c r="D26" s="53"/>
      <c r="E26" s="53"/>
      <c r="F26" s="53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13">
        <v>1.0</v>
      </c>
      <c r="B28" s="54" t="s">
        <v>63</v>
      </c>
      <c r="C28" s="55">
        <v>45689.0</v>
      </c>
      <c r="D28" s="22">
        <v>11351.07</v>
      </c>
      <c r="E28" s="56"/>
      <c r="F28" s="28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30" t="s">
        <v>21</v>
      </c>
      <c r="B29" s="31"/>
      <c r="C29" s="32"/>
      <c r="D29" s="24">
        <f>round(D28*(1+5.26%),2)</f>
        <v>11948.14</v>
      </c>
      <c r="E29" s="57"/>
      <c r="F29" s="28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30" t="s">
        <v>24</v>
      </c>
      <c r="B30" s="31"/>
      <c r="C30" s="32"/>
      <c r="D30" s="24">
        <f>round(D29*10%,2)</f>
        <v>1194.81</v>
      </c>
      <c r="E30" s="57"/>
      <c r="F30" s="2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33" t="s">
        <v>9</v>
      </c>
      <c r="B31" s="31"/>
      <c r="C31" s="32"/>
      <c r="D31" s="39">
        <f>D29-D30</f>
        <v>10753.33</v>
      </c>
      <c r="E31" s="90">
        <v>25735.0</v>
      </c>
      <c r="F31" s="41">
        <f>D31*E31</f>
        <v>276736947.6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33" t="s">
        <v>26</v>
      </c>
      <c r="B32" s="31"/>
      <c r="C32" s="32"/>
      <c r="D32" s="39"/>
      <c r="E32" s="90"/>
      <c r="F32" s="41">
        <f>round(F31*10%,0)</f>
        <v>27673695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33" t="s">
        <v>16</v>
      </c>
      <c r="B33" s="31"/>
      <c r="C33" s="32"/>
      <c r="D33" s="39"/>
      <c r="E33" s="90"/>
      <c r="F33" s="41">
        <f>F31+F32</f>
        <v>304410642.6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52" t="s">
        <v>62</v>
      </c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53"/>
      <c r="B38" s="53"/>
      <c r="C38" s="53"/>
      <c r="D38" s="53"/>
      <c r="E38" s="53"/>
      <c r="F38" s="53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13">
        <v>1.0</v>
      </c>
      <c r="B40" s="54" t="s">
        <v>63</v>
      </c>
      <c r="C40" s="55">
        <v>45717.0</v>
      </c>
      <c r="D40" s="22">
        <v>11371.37</v>
      </c>
      <c r="E40" s="56"/>
      <c r="F40" s="28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30" t="s">
        <v>21</v>
      </c>
      <c r="B41" s="31"/>
      <c r="C41" s="32"/>
      <c r="D41" s="24">
        <f>round(D40*(1+5.26%),2)</f>
        <v>11969.5</v>
      </c>
      <c r="E41" s="57"/>
      <c r="F41" s="28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30" t="s">
        <v>24</v>
      </c>
      <c r="B42" s="31"/>
      <c r="C42" s="32"/>
      <c r="D42" s="24">
        <f>round(D41*10%,2)</f>
        <v>1196.95</v>
      </c>
      <c r="E42" s="57"/>
      <c r="F42" s="28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33" t="s">
        <v>9</v>
      </c>
      <c r="B43" s="31"/>
      <c r="C43" s="32"/>
      <c r="D43" s="39">
        <f>D41-D42</f>
        <v>10772.55</v>
      </c>
      <c r="E43" s="90">
        <v>25775.0</v>
      </c>
      <c r="F43" s="41">
        <f>D43*E43</f>
        <v>277662476.3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33" t="s">
        <v>26</v>
      </c>
      <c r="B44" s="31"/>
      <c r="C44" s="32"/>
      <c r="D44" s="39"/>
      <c r="E44" s="90"/>
      <c r="F44" s="41">
        <f>round(F43*10%,0)</f>
        <v>27766248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33" t="s">
        <v>16</v>
      </c>
      <c r="B45" s="31"/>
      <c r="C45" s="32"/>
      <c r="D45" s="39"/>
      <c r="E45" s="90"/>
      <c r="F45" s="41">
        <f>F43+F44</f>
        <v>305428724.3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52" t="s">
        <v>62</v>
      </c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53"/>
      <c r="B50" s="53"/>
      <c r="C50" s="53"/>
      <c r="D50" s="53"/>
      <c r="E50" s="53"/>
      <c r="F50" s="53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13">
        <v>1.0</v>
      </c>
      <c r="B52" s="54" t="s">
        <v>63</v>
      </c>
      <c r="C52" s="55">
        <v>45748.0</v>
      </c>
      <c r="D52" s="22">
        <v>11391.47</v>
      </c>
      <c r="E52" s="56"/>
      <c r="F52" s="28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30" t="s">
        <v>21</v>
      </c>
      <c r="B53" s="31"/>
      <c r="C53" s="32"/>
      <c r="D53" s="24">
        <f>round(D52*(1+5.26%),2)</f>
        <v>11990.66</v>
      </c>
      <c r="E53" s="57"/>
      <c r="F53" s="28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30" t="s">
        <v>24</v>
      </c>
      <c r="B54" s="31"/>
      <c r="C54" s="32"/>
      <c r="D54" s="24">
        <f>round(D53*10%,2)</f>
        <v>1199.07</v>
      </c>
      <c r="E54" s="57"/>
      <c r="F54" s="28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33" t="s">
        <v>9</v>
      </c>
      <c r="B55" s="31"/>
      <c r="C55" s="32"/>
      <c r="D55" s="39">
        <f>D53-D54</f>
        <v>10791.59</v>
      </c>
      <c r="E55" s="90">
        <v>26190.0</v>
      </c>
      <c r="F55" s="41">
        <f>D55*E55</f>
        <v>282631742.1</v>
      </c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33" t="s">
        <v>26</v>
      </c>
      <c r="B56" s="31"/>
      <c r="C56" s="32"/>
      <c r="D56" s="39"/>
      <c r="E56" s="90"/>
      <c r="F56" s="41">
        <f>round(F55*10%,0)</f>
        <v>28263174</v>
      </c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33" t="s">
        <v>16</v>
      </c>
      <c r="B57" s="31"/>
      <c r="C57" s="32"/>
      <c r="D57" s="39"/>
      <c r="E57" s="90"/>
      <c r="F57" s="41">
        <f>F55+F56</f>
        <v>310894916.1</v>
      </c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52" t="s">
        <v>62</v>
      </c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53"/>
      <c r="B62" s="53"/>
      <c r="C62" s="53"/>
      <c r="D62" s="53"/>
      <c r="E62" s="53"/>
      <c r="F62" s="53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9" t="s">
        <v>4</v>
      </c>
      <c r="B63" s="9" t="s">
        <v>5</v>
      </c>
      <c r="C63" s="9" t="s">
        <v>6</v>
      </c>
      <c r="D63" s="9" t="s">
        <v>7</v>
      </c>
      <c r="E63" s="9" t="s">
        <v>8</v>
      </c>
      <c r="F63" s="9" t="s">
        <v>9</v>
      </c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13">
        <v>1.0</v>
      </c>
      <c r="B64" s="54" t="s">
        <v>63</v>
      </c>
      <c r="C64" s="55">
        <v>45778.0</v>
      </c>
      <c r="D64" s="22">
        <v>11240.41</v>
      </c>
      <c r="E64" s="56"/>
      <c r="F64" s="28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30" t="s">
        <v>21</v>
      </c>
      <c r="B65" s="31"/>
      <c r="C65" s="32"/>
      <c r="D65" s="24">
        <f>round(D64*(1+5.26%),2)</f>
        <v>11831.66</v>
      </c>
      <c r="E65" s="57"/>
      <c r="F65" s="28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30" t="s">
        <v>24</v>
      </c>
      <c r="B66" s="31"/>
      <c r="C66" s="32"/>
      <c r="D66" s="24">
        <f>round(D65*10%,2)</f>
        <v>1183.17</v>
      </c>
      <c r="E66" s="57"/>
      <c r="F66" s="28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33" t="s">
        <v>9</v>
      </c>
      <c r="B67" s="31"/>
      <c r="C67" s="32"/>
      <c r="D67" s="39">
        <f>D65-D66</f>
        <v>10648.49</v>
      </c>
      <c r="E67" s="90">
        <v>26225.0</v>
      </c>
      <c r="F67" s="41">
        <f>D67*E67</f>
        <v>279256650.3</v>
      </c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33" t="s">
        <v>26</v>
      </c>
      <c r="B68" s="31"/>
      <c r="C68" s="32"/>
      <c r="D68" s="39"/>
      <c r="E68" s="90"/>
      <c r="F68" s="41">
        <f>round(F67*10%,0)</f>
        <v>27925665</v>
      </c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33" t="s">
        <v>16</v>
      </c>
      <c r="B69" s="31"/>
      <c r="C69" s="32"/>
      <c r="D69" s="39"/>
      <c r="E69" s="90"/>
      <c r="F69" s="41">
        <f>F67+F68</f>
        <v>307182315.3</v>
      </c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52" t="s">
        <v>62</v>
      </c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53"/>
      <c r="B74" s="53"/>
      <c r="C74" s="53"/>
      <c r="D74" s="53"/>
      <c r="E74" s="53"/>
      <c r="F74" s="53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9" t="s">
        <v>4</v>
      </c>
      <c r="B75" s="9" t="s">
        <v>5</v>
      </c>
      <c r="C75" s="9" t="s">
        <v>6</v>
      </c>
      <c r="D75" s="9" t="s">
        <v>7</v>
      </c>
      <c r="E75" s="9" t="s">
        <v>8</v>
      </c>
      <c r="F75" s="9" t="s">
        <v>9</v>
      </c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13">
        <v>1.0</v>
      </c>
      <c r="B76" s="54" t="s">
        <v>63</v>
      </c>
      <c r="C76" s="55">
        <v>45809.0</v>
      </c>
      <c r="D76" s="22">
        <v>11183.48</v>
      </c>
      <c r="E76" s="56"/>
      <c r="F76" s="28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30" t="s">
        <v>21</v>
      </c>
      <c r="B77" s="31"/>
      <c r="C77" s="32"/>
      <c r="D77" s="24">
        <f>round(D76*(1+5.26%),2)</f>
        <v>11771.73</v>
      </c>
      <c r="E77" s="57"/>
      <c r="F77" s="28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30" t="s">
        <v>24</v>
      </c>
      <c r="B78" s="31"/>
      <c r="C78" s="32"/>
      <c r="D78" s="24">
        <f>round(D77*10%,2)</f>
        <v>1177.17</v>
      </c>
      <c r="E78" s="57"/>
      <c r="F78" s="28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33" t="s">
        <v>9</v>
      </c>
      <c r="B79" s="31"/>
      <c r="C79" s="32"/>
      <c r="D79" s="39">
        <f>D77-D78</f>
        <v>10594.56</v>
      </c>
      <c r="E79" s="90">
        <v>26300.0</v>
      </c>
      <c r="F79" s="41">
        <f>D79*E79</f>
        <v>278636928</v>
      </c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33" t="s">
        <v>26</v>
      </c>
      <c r="B80" s="31"/>
      <c r="C80" s="32"/>
      <c r="D80" s="39"/>
      <c r="E80" s="90"/>
      <c r="F80" s="41">
        <f>round(F79*10%,0)</f>
        <v>27863693</v>
      </c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33" t="s">
        <v>16</v>
      </c>
      <c r="B81" s="31"/>
      <c r="C81" s="32"/>
      <c r="D81" s="39"/>
      <c r="E81" s="90"/>
      <c r="F81" s="41">
        <f>F79+F80</f>
        <v>306500621</v>
      </c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52" t="s">
        <v>62</v>
      </c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53"/>
      <c r="B86" s="53"/>
      <c r="C86" s="53"/>
      <c r="D86" s="53"/>
      <c r="E86" s="53"/>
      <c r="F86" s="53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9" t="s">
        <v>4</v>
      </c>
      <c r="B87" s="9" t="s">
        <v>5</v>
      </c>
      <c r="C87" s="9" t="s">
        <v>6</v>
      </c>
      <c r="D87" s="9" t="s">
        <v>7</v>
      </c>
      <c r="E87" s="9" t="s">
        <v>8</v>
      </c>
      <c r="F87" s="9" t="s">
        <v>9</v>
      </c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13">
        <v>1.0</v>
      </c>
      <c r="B88" s="54" t="s">
        <v>63</v>
      </c>
      <c r="C88" s="55">
        <v>45839.0</v>
      </c>
      <c r="D88" s="22">
        <v>11323.29</v>
      </c>
      <c r="E88" s="56"/>
      <c r="F88" s="28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30" t="s">
        <v>32</v>
      </c>
      <c r="B89" s="31"/>
      <c r="C89" s="32"/>
      <c r="D89" s="24">
        <f>round(D88*(1+10%),2)</f>
        <v>12455.62</v>
      </c>
      <c r="E89" s="57"/>
      <c r="F89" s="28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30" t="s">
        <v>24</v>
      </c>
      <c r="B90" s="31"/>
      <c r="C90" s="32"/>
      <c r="D90" s="24">
        <f>round(D89*10%,2)</f>
        <v>1245.56</v>
      </c>
      <c r="E90" s="57"/>
      <c r="F90" s="28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33" t="s">
        <v>9</v>
      </c>
      <c r="B91" s="31"/>
      <c r="C91" s="32"/>
      <c r="D91" s="39">
        <f>D89-D90</f>
        <v>11210.06</v>
      </c>
      <c r="E91" s="90">
        <v>26382.0</v>
      </c>
      <c r="F91" s="41">
        <f>D91*E91</f>
        <v>295743802.9</v>
      </c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33" t="s">
        <v>26</v>
      </c>
      <c r="B92" s="31"/>
      <c r="C92" s="32"/>
      <c r="D92" s="39"/>
      <c r="E92" s="90"/>
      <c r="F92" s="41">
        <f>round(F91*10%,0)</f>
        <v>29574380</v>
      </c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33" t="s">
        <v>16</v>
      </c>
      <c r="B93" s="31"/>
      <c r="C93" s="32"/>
      <c r="D93" s="39"/>
      <c r="E93" s="90"/>
      <c r="F93" s="41">
        <f>F91+F92</f>
        <v>325318182.9</v>
      </c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52" t="s">
        <v>62</v>
      </c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53"/>
      <c r="B98" s="53"/>
      <c r="C98" s="53"/>
      <c r="D98" s="53"/>
      <c r="E98" s="53"/>
      <c r="F98" s="53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9" t="s">
        <v>4</v>
      </c>
      <c r="B99" s="9" t="s">
        <v>5</v>
      </c>
      <c r="C99" s="9" t="s">
        <v>6</v>
      </c>
      <c r="D99" s="9" t="s">
        <v>7</v>
      </c>
      <c r="E99" s="9" t="s">
        <v>8</v>
      </c>
      <c r="F99" s="9" t="s">
        <v>9</v>
      </c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13">
        <v>1.0</v>
      </c>
      <c r="B100" s="54" t="s">
        <v>63</v>
      </c>
      <c r="C100" s="55">
        <v>45870.0</v>
      </c>
      <c r="D100" s="22">
        <v>11407.2</v>
      </c>
      <c r="E100" s="56"/>
      <c r="F100" s="28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30" t="s">
        <v>32</v>
      </c>
      <c r="B101" s="31"/>
      <c r="C101" s="32"/>
      <c r="D101" s="24">
        <f>round(D100*(1+10%),2)</f>
        <v>12547.92</v>
      </c>
      <c r="E101" s="57"/>
      <c r="F101" s="28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30" t="s">
        <v>24</v>
      </c>
      <c r="B102" s="31"/>
      <c r="C102" s="32"/>
      <c r="D102" s="24">
        <f>round(D101*10%,2)</f>
        <v>1254.79</v>
      </c>
      <c r="E102" s="57"/>
      <c r="F102" s="28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33" t="s">
        <v>9</v>
      </c>
      <c r="B103" s="31"/>
      <c r="C103" s="32"/>
      <c r="D103" s="39">
        <f>D101-D102</f>
        <v>11293.13</v>
      </c>
      <c r="E103" s="90">
        <v>26502.0</v>
      </c>
      <c r="F103" s="41">
        <f>D103*E103</f>
        <v>299290531.3</v>
      </c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33" t="s">
        <v>26</v>
      </c>
      <c r="B104" s="31"/>
      <c r="C104" s="32"/>
      <c r="D104" s="39"/>
      <c r="E104" s="90"/>
      <c r="F104" s="41">
        <f>round(F103*10%,0)</f>
        <v>29929053</v>
      </c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33" t="s">
        <v>16</v>
      </c>
      <c r="B105" s="31"/>
      <c r="C105" s="32"/>
      <c r="D105" s="39"/>
      <c r="E105" s="90"/>
      <c r="F105" s="41">
        <f>F103+F104</f>
        <v>329219584.3</v>
      </c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52" t="s">
        <v>62</v>
      </c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53"/>
      <c r="B111" s="53"/>
      <c r="C111" s="53"/>
      <c r="D111" s="53"/>
      <c r="E111" s="53"/>
      <c r="F111" s="53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9" t="s">
        <v>4</v>
      </c>
      <c r="B112" s="9" t="s">
        <v>5</v>
      </c>
      <c r="C112" s="9" t="s">
        <v>6</v>
      </c>
      <c r="D112" s="9" t="s">
        <v>7</v>
      </c>
      <c r="E112" s="9" t="s">
        <v>8</v>
      </c>
      <c r="F112" s="9" t="s">
        <v>9</v>
      </c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13">
        <v>1.0</v>
      </c>
      <c r="B113" s="54" t="s">
        <v>63</v>
      </c>
      <c r="C113" s="55">
        <v>45901.0</v>
      </c>
      <c r="D113" s="22">
        <v>11416.85</v>
      </c>
      <c r="E113" s="56"/>
      <c r="F113" s="28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30" t="s">
        <v>32</v>
      </c>
      <c r="B114" s="31"/>
      <c r="C114" s="32"/>
      <c r="D114" s="24">
        <f>round(D113*(1+10%),2)</f>
        <v>12558.54</v>
      </c>
      <c r="E114" s="57"/>
      <c r="F114" s="28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30" t="s">
        <v>24</v>
      </c>
      <c r="B115" s="31"/>
      <c r="C115" s="32"/>
      <c r="D115" s="24">
        <f>round(D114*10%,2)</f>
        <v>1255.85</v>
      </c>
      <c r="E115" s="57"/>
      <c r="F115" s="28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33" t="s">
        <v>9</v>
      </c>
      <c r="B116" s="31"/>
      <c r="C116" s="32"/>
      <c r="D116" s="39">
        <f>D114-D115</f>
        <v>11302.69</v>
      </c>
      <c r="E116" s="90">
        <v>26446.0</v>
      </c>
      <c r="F116" s="41">
        <f>D116*E116</f>
        <v>298910939.7</v>
      </c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33" t="s">
        <v>26</v>
      </c>
      <c r="B117" s="31"/>
      <c r="C117" s="32"/>
      <c r="D117" s="39"/>
      <c r="E117" s="90"/>
      <c r="F117" s="41">
        <f>round(F116*10%,0)</f>
        <v>29891094</v>
      </c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33" t="s">
        <v>16</v>
      </c>
      <c r="B118" s="31"/>
      <c r="C118" s="32"/>
      <c r="D118" s="39"/>
      <c r="E118" s="90"/>
      <c r="F118" s="41">
        <f>F116+F117</f>
        <v>328802033.7</v>
      </c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52" t="s">
        <v>62</v>
      </c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53"/>
      <c r="B125" s="53"/>
      <c r="C125" s="53"/>
      <c r="D125" s="53"/>
      <c r="E125" s="53"/>
      <c r="F125" s="53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9" t="s">
        <v>4</v>
      </c>
      <c r="B126" s="9" t="s">
        <v>5</v>
      </c>
      <c r="C126" s="9" t="s">
        <v>6</v>
      </c>
      <c r="D126" s="9" t="s">
        <v>7</v>
      </c>
      <c r="E126" s="9" t="s">
        <v>8</v>
      </c>
      <c r="F126" s="9" t="s">
        <v>9</v>
      </c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13">
        <v>1.0</v>
      </c>
      <c r="B127" s="54" t="s">
        <v>63</v>
      </c>
      <c r="C127" s="55">
        <v>45931.0</v>
      </c>
      <c r="D127" s="22">
        <v>11430.51</v>
      </c>
      <c r="E127" s="56"/>
      <c r="F127" s="28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30" t="s">
        <v>32</v>
      </c>
      <c r="B128" s="31"/>
      <c r="C128" s="32"/>
      <c r="D128" s="24">
        <f>round(D127*(1+10%),2)</f>
        <v>12573.56</v>
      </c>
      <c r="E128" s="57"/>
      <c r="F128" s="28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30" t="s">
        <v>24</v>
      </c>
      <c r="B129" s="31"/>
      <c r="C129" s="32"/>
      <c r="D129" s="24">
        <f>round(D128*10%,2)</f>
        <v>1257.36</v>
      </c>
      <c r="E129" s="57"/>
      <c r="F129" s="28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33" t="s">
        <v>9</v>
      </c>
      <c r="B130" s="31"/>
      <c r="C130" s="32"/>
      <c r="D130" s="39">
        <f>D128-D129</f>
        <v>11316.2</v>
      </c>
      <c r="E130" s="90">
        <v>26347.0</v>
      </c>
      <c r="F130" s="41">
        <f>D130*E130</f>
        <v>298147921.4</v>
      </c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33" t="s">
        <v>26</v>
      </c>
      <c r="B131" s="31"/>
      <c r="C131" s="32"/>
      <c r="D131" s="39"/>
      <c r="E131" s="90"/>
      <c r="F131" s="41">
        <f>round(F130*10%,0)</f>
        <v>29814792</v>
      </c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33" t="s">
        <v>16</v>
      </c>
      <c r="B132" s="31"/>
      <c r="C132" s="32"/>
      <c r="D132" s="39"/>
      <c r="E132" s="90"/>
      <c r="F132" s="41">
        <f>F130+F131</f>
        <v>327962713.4</v>
      </c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52" t="s">
        <v>62</v>
      </c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53"/>
      <c r="B138" s="53"/>
      <c r="C138" s="53"/>
      <c r="D138" s="53"/>
      <c r="E138" s="53"/>
      <c r="F138" s="53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9" t="s">
        <v>4</v>
      </c>
      <c r="B139" s="9" t="s">
        <v>5</v>
      </c>
      <c r="C139" s="9" t="s">
        <v>6</v>
      </c>
      <c r="D139" s="9" t="s">
        <v>7</v>
      </c>
      <c r="E139" s="9" t="s">
        <v>8</v>
      </c>
      <c r="F139" s="9" t="s">
        <v>9</v>
      </c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13">
        <v>1.0</v>
      </c>
      <c r="B140" s="54" t="s">
        <v>63</v>
      </c>
      <c r="C140" s="55">
        <v>45962.0</v>
      </c>
      <c r="D140" s="22">
        <v>11395.5</v>
      </c>
      <c r="E140" s="56"/>
      <c r="F140" s="28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30" t="s">
        <v>32</v>
      </c>
      <c r="B141" s="31"/>
      <c r="C141" s="32"/>
      <c r="D141" s="24">
        <f>round(D140*(1+10%),2)</f>
        <v>12535.05</v>
      </c>
      <c r="E141" s="57"/>
      <c r="F141" s="28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30" t="s">
        <v>24</v>
      </c>
      <c r="B142" s="31"/>
      <c r="C142" s="32"/>
      <c r="D142" s="24">
        <f>round(D141*10%,2)</f>
        <v>1253.51</v>
      </c>
      <c r="E142" s="57"/>
      <c r="F142" s="28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33" t="s">
        <v>9</v>
      </c>
      <c r="B143" s="31"/>
      <c r="C143" s="32"/>
      <c r="D143" s="39">
        <f>D141-D142</f>
        <v>11281.54</v>
      </c>
      <c r="E143" s="90">
        <v>26412.0</v>
      </c>
      <c r="F143" s="41">
        <f>D143*E143</f>
        <v>297968034.5</v>
      </c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33" t="s">
        <v>26</v>
      </c>
      <c r="B144" s="31"/>
      <c r="C144" s="32"/>
      <c r="D144" s="39"/>
      <c r="E144" s="90"/>
      <c r="F144" s="41">
        <f>round(F143*10%,0)</f>
        <v>29796803</v>
      </c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33" t="s">
        <v>16</v>
      </c>
      <c r="B145" s="31"/>
      <c r="C145" s="32"/>
      <c r="D145" s="39"/>
      <c r="E145" s="90"/>
      <c r="F145" s="41">
        <f>F143+F144</f>
        <v>327764837.5</v>
      </c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52" t="s">
        <v>62</v>
      </c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53"/>
      <c r="B152" s="53"/>
      <c r="C152" s="53"/>
      <c r="D152" s="53"/>
      <c r="E152" s="53"/>
      <c r="F152" s="53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9" t="s">
        <v>4</v>
      </c>
      <c r="B153" s="9" t="s">
        <v>5</v>
      </c>
      <c r="C153" s="9" t="s">
        <v>6</v>
      </c>
      <c r="D153" s="9" t="s">
        <v>7</v>
      </c>
      <c r="E153" s="9" t="s">
        <v>8</v>
      </c>
      <c r="F153" s="9" t="s">
        <v>9</v>
      </c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13">
        <v>1.0</v>
      </c>
      <c r="B154" s="54" t="s">
        <v>63</v>
      </c>
      <c r="C154" s="55">
        <v>45992.0</v>
      </c>
      <c r="D154" s="22">
        <v>11275.5</v>
      </c>
      <c r="E154" s="56"/>
      <c r="F154" s="28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30" t="s">
        <v>32</v>
      </c>
      <c r="B155" s="31"/>
      <c r="C155" s="32"/>
      <c r="D155" s="24">
        <f>round(D154*(1+10%),2)</f>
        <v>12403.05</v>
      </c>
      <c r="E155" s="57"/>
      <c r="F155" s="28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30" t="s">
        <v>24</v>
      </c>
      <c r="B156" s="31"/>
      <c r="C156" s="32"/>
      <c r="D156" s="24">
        <f>round(D155*10%,2)</f>
        <v>1240.31</v>
      </c>
      <c r="E156" s="57"/>
      <c r="F156" s="28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33" t="s">
        <v>9</v>
      </c>
      <c r="B157" s="31"/>
      <c r="C157" s="32"/>
      <c r="D157" s="39">
        <f>D155-D156</f>
        <v>11162.74</v>
      </c>
      <c r="E157" s="90">
        <v>26377.0</v>
      </c>
      <c r="F157" s="41">
        <f>D157*E157</f>
        <v>294439593</v>
      </c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33" t="s">
        <v>26</v>
      </c>
      <c r="B158" s="31"/>
      <c r="C158" s="32"/>
      <c r="D158" s="39"/>
      <c r="E158" s="90"/>
      <c r="F158" s="41">
        <f>round(F157*10%,0)</f>
        <v>29443959</v>
      </c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33" t="s">
        <v>16</v>
      </c>
      <c r="B159" s="31"/>
      <c r="C159" s="32"/>
      <c r="D159" s="39"/>
      <c r="E159" s="90"/>
      <c r="F159" s="41">
        <f>F157+F158</f>
        <v>323883552</v>
      </c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52" t="s">
        <v>62</v>
      </c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53"/>
      <c r="B166" s="53"/>
      <c r="C166" s="53"/>
      <c r="D166" s="53"/>
      <c r="E166" s="53"/>
      <c r="F166" s="53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9" t="s">
        <v>4</v>
      </c>
      <c r="B167" s="9" t="s">
        <v>5</v>
      </c>
      <c r="C167" s="9" t="s">
        <v>6</v>
      </c>
      <c r="D167" s="9" t="s">
        <v>7</v>
      </c>
      <c r="E167" s="9" t="s">
        <v>8</v>
      </c>
      <c r="F167" s="9" t="s">
        <v>9</v>
      </c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13">
        <v>1.0</v>
      </c>
      <c r="B168" s="54" t="s">
        <v>63</v>
      </c>
      <c r="C168" s="55">
        <v>46023.0</v>
      </c>
      <c r="D168" s="22">
        <v>11275.72</v>
      </c>
      <c r="E168" s="56"/>
      <c r="F168" s="28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30" t="s">
        <v>32</v>
      </c>
      <c r="B169" s="31"/>
      <c r="C169" s="32"/>
      <c r="D169" s="24">
        <f>round(D168*(1+10%),2)</f>
        <v>12403.29</v>
      </c>
      <c r="E169" s="57"/>
      <c r="F169" s="28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30" t="s">
        <v>24</v>
      </c>
      <c r="B170" s="31"/>
      <c r="C170" s="32"/>
      <c r="D170" s="24">
        <f>round(D169*10%,2)</f>
        <v>1240.33</v>
      </c>
      <c r="E170" s="57"/>
      <c r="F170" s="28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33" t="s">
        <v>9</v>
      </c>
      <c r="B171" s="31"/>
      <c r="C171" s="32"/>
      <c r="D171" s="39">
        <f>D169-D170</f>
        <v>11162.96</v>
      </c>
      <c r="E171" s="90">
        <v>26145.0</v>
      </c>
      <c r="F171" s="41">
        <f>D171*E171</f>
        <v>291855589.2</v>
      </c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33" t="s">
        <v>26</v>
      </c>
      <c r="B172" s="31"/>
      <c r="C172" s="32"/>
      <c r="D172" s="39"/>
      <c r="E172" s="90"/>
      <c r="F172" s="41">
        <f>round(F171*10%,0)</f>
        <v>29185559</v>
      </c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33" t="s">
        <v>16</v>
      </c>
      <c r="B173" s="31"/>
      <c r="C173" s="32"/>
      <c r="D173" s="39"/>
      <c r="E173" s="90"/>
      <c r="F173" s="41">
        <f>F171+F172</f>
        <v>321041148.2</v>
      </c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52" t="s">
        <v>62</v>
      </c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53"/>
      <c r="B180" s="53"/>
      <c r="C180" s="53"/>
      <c r="D180" s="53"/>
      <c r="E180" s="53"/>
      <c r="F180" s="53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9" t="s">
        <v>4</v>
      </c>
      <c r="B181" s="9" t="s">
        <v>5</v>
      </c>
      <c r="C181" s="9" t="s">
        <v>6</v>
      </c>
      <c r="D181" s="9" t="s">
        <v>7</v>
      </c>
      <c r="E181" s="9" t="s">
        <v>8</v>
      </c>
      <c r="F181" s="9" t="s">
        <v>9</v>
      </c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13">
        <v>1.0</v>
      </c>
      <c r="B182" s="54" t="s">
        <v>63</v>
      </c>
      <c r="C182" s="55">
        <v>46054.0</v>
      </c>
      <c r="D182" s="22">
        <v>11305.03</v>
      </c>
      <c r="E182" s="56"/>
      <c r="F182" s="28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30" t="s">
        <v>32</v>
      </c>
      <c r="B183" s="31"/>
      <c r="C183" s="32"/>
      <c r="D183" s="24">
        <f>round(D182*(1+10%),2)</f>
        <v>12435.53</v>
      </c>
      <c r="E183" s="57"/>
      <c r="F183" s="28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30" t="s">
        <v>24</v>
      </c>
      <c r="B184" s="31"/>
      <c r="C184" s="32"/>
      <c r="D184" s="24">
        <f>round(D183*10%,2)</f>
        <v>1243.55</v>
      </c>
      <c r="E184" s="57"/>
      <c r="F184" s="28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33" t="s">
        <v>9</v>
      </c>
      <c r="B185" s="31"/>
      <c r="C185" s="32"/>
      <c r="D185" s="39">
        <f>D183-D184</f>
        <v>11191.98</v>
      </c>
      <c r="E185" s="90">
        <v>26240.0</v>
      </c>
      <c r="F185" s="41">
        <f>D185*E185</f>
        <v>293677555.2</v>
      </c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33" t="s">
        <v>26</v>
      </c>
      <c r="B186" s="31"/>
      <c r="C186" s="32"/>
      <c r="D186" s="39"/>
      <c r="E186" s="90"/>
      <c r="F186" s="41">
        <f>round(F185*10%,0)</f>
        <v>29367756</v>
      </c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33" t="s">
        <v>16</v>
      </c>
      <c r="B187" s="31"/>
      <c r="C187" s="32"/>
      <c r="D187" s="39"/>
      <c r="E187" s="90"/>
      <c r="F187" s="41">
        <f>F185+F186</f>
        <v>323045311.2</v>
      </c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52" t="s">
        <v>62</v>
      </c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53"/>
      <c r="B193" s="53"/>
      <c r="C193" s="53"/>
      <c r="D193" s="53"/>
      <c r="E193" s="53"/>
      <c r="F193" s="53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9" t="s">
        <v>4</v>
      </c>
      <c r="B194" s="9" t="s">
        <v>5</v>
      </c>
      <c r="C194" s="9" t="s">
        <v>6</v>
      </c>
      <c r="D194" s="9" t="s">
        <v>7</v>
      </c>
      <c r="E194" s="9" t="s">
        <v>8</v>
      </c>
      <c r="F194" s="9" t="s">
        <v>9</v>
      </c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13">
        <v>1.0</v>
      </c>
      <c r="B195" s="54" t="s">
        <v>63</v>
      </c>
      <c r="C195" s="55">
        <v>46082.0</v>
      </c>
      <c r="D195" s="22">
        <v>11303.62</v>
      </c>
      <c r="E195" s="56"/>
      <c r="F195" s="28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30" t="s">
        <v>64</v>
      </c>
      <c r="B196" s="31"/>
      <c r="C196" s="32"/>
      <c r="D196" s="24">
        <f>round(D195*(1+10%),2)</f>
        <v>12433.98</v>
      </c>
      <c r="E196" s="57"/>
      <c r="F196" s="28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30" t="s">
        <v>24</v>
      </c>
      <c r="B197" s="31"/>
      <c r="C197" s="32"/>
      <c r="D197" s="24">
        <f>round(D196*10%,2)</f>
        <v>1243.4</v>
      </c>
      <c r="E197" s="57"/>
      <c r="F197" s="28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33" t="s">
        <v>9</v>
      </c>
      <c r="B198" s="31"/>
      <c r="C198" s="32"/>
      <c r="D198" s="39">
        <f>D196-D197</f>
        <v>11190.58</v>
      </c>
      <c r="E198" s="90">
        <v>26357.0</v>
      </c>
      <c r="F198" s="41">
        <f>D198*E198</f>
        <v>294950117.1</v>
      </c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33" t="s">
        <v>26</v>
      </c>
      <c r="B199" s="31"/>
      <c r="C199" s="32"/>
      <c r="D199" s="39"/>
      <c r="E199" s="90"/>
      <c r="F199" s="41">
        <f>round(F198*10%,0)</f>
        <v>29495012</v>
      </c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33" t="s">
        <v>16</v>
      </c>
      <c r="B200" s="31"/>
      <c r="C200" s="32"/>
      <c r="D200" s="39"/>
      <c r="E200" s="90"/>
      <c r="F200" s="41">
        <f>F198+F199</f>
        <v>324445129.1</v>
      </c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52" t="s">
        <v>62</v>
      </c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53"/>
      <c r="B206" s="53"/>
      <c r="C206" s="53"/>
      <c r="D206" s="53"/>
      <c r="E206" s="53"/>
      <c r="F206" s="53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9" t="s">
        <v>4</v>
      </c>
      <c r="B207" s="9" t="s">
        <v>5</v>
      </c>
      <c r="C207" s="9" t="s">
        <v>6</v>
      </c>
      <c r="D207" s="9" t="s">
        <v>7</v>
      </c>
      <c r="E207" s="9" t="s">
        <v>8</v>
      </c>
      <c r="F207" s="9" t="s">
        <v>9</v>
      </c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13">
        <v>1.0</v>
      </c>
      <c r="B208" s="54" t="s">
        <v>63</v>
      </c>
      <c r="C208" s="55">
        <v>46113.0</v>
      </c>
      <c r="D208" s="22">
        <v>11338.54</v>
      </c>
      <c r="E208" s="56"/>
      <c r="F208" s="28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30" t="s">
        <v>64</v>
      </c>
      <c r="B209" s="31"/>
      <c r="C209" s="32"/>
      <c r="D209" s="24">
        <f>round(D208*(1+10%),2)</f>
        <v>12472.39</v>
      </c>
      <c r="E209" s="57"/>
      <c r="F209" s="28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30" t="s">
        <v>24</v>
      </c>
      <c r="B210" s="31"/>
      <c r="C210" s="32"/>
      <c r="D210" s="24">
        <f>round(D209*10%,2)</f>
        <v>1247.24</v>
      </c>
      <c r="E210" s="57"/>
      <c r="F210" s="28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33" t="s">
        <v>9</v>
      </c>
      <c r="B211" s="31"/>
      <c r="C211" s="32"/>
      <c r="D211" s="39">
        <f>D209-D210</f>
        <v>11225.15</v>
      </c>
      <c r="E211" s="90">
        <v>26368.0</v>
      </c>
      <c r="F211" s="41">
        <f>D211*E211</f>
        <v>295984755.2</v>
      </c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33" t="s">
        <v>26</v>
      </c>
      <c r="B212" s="31"/>
      <c r="C212" s="32"/>
      <c r="D212" s="39"/>
      <c r="E212" s="90"/>
      <c r="F212" s="41">
        <f>round(F211*10%,0)</f>
        <v>29598476</v>
      </c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33" t="s">
        <v>16</v>
      </c>
      <c r="B213" s="31"/>
      <c r="C213" s="32"/>
      <c r="D213" s="39"/>
      <c r="E213" s="90"/>
      <c r="F213" s="41">
        <f>F211+F212</f>
        <v>325583231.2</v>
      </c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52" t="s">
        <v>62</v>
      </c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53"/>
      <c r="B219" s="53"/>
      <c r="C219" s="53"/>
      <c r="D219" s="53"/>
      <c r="E219" s="53"/>
      <c r="F219" s="53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9" t="s">
        <v>4</v>
      </c>
      <c r="B220" s="9" t="s">
        <v>5</v>
      </c>
      <c r="C220" s="9" t="s">
        <v>6</v>
      </c>
      <c r="D220" s="9" t="s">
        <v>7</v>
      </c>
      <c r="E220" s="9" t="s">
        <v>8</v>
      </c>
      <c r="F220" s="9" t="s">
        <v>9</v>
      </c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13">
        <v>1.0</v>
      </c>
      <c r="B221" s="54" t="s">
        <v>63</v>
      </c>
      <c r="C221" s="55">
        <v>46143.0</v>
      </c>
      <c r="D221" s="22">
        <v>11334.58</v>
      </c>
      <c r="E221" s="56"/>
      <c r="F221" s="28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30" t="s">
        <v>64</v>
      </c>
      <c r="B222" s="31"/>
      <c r="C222" s="32"/>
      <c r="D222" s="24">
        <f>round(D221*(1+10%),2)</f>
        <v>12468.04</v>
      </c>
      <c r="E222" s="57"/>
      <c r="F222" s="28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30" t="s">
        <v>24</v>
      </c>
      <c r="B223" s="31"/>
      <c r="C223" s="32"/>
      <c r="D223" s="24">
        <f>round(D222*10%,2)</f>
        <v>1246.8</v>
      </c>
      <c r="E223" s="57"/>
      <c r="F223" s="28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33" t="s">
        <v>9</v>
      </c>
      <c r="B224" s="31"/>
      <c r="C224" s="32"/>
      <c r="D224" s="39">
        <f>D222-D223</f>
        <v>11221.24</v>
      </c>
      <c r="E224" s="90">
        <v>26395.0</v>
      </c>
      <c r="F224" s="41">
        <f>D224*E224</f>
        <v>296184629.8</v>
      </c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33" t="s">
        <v>26</v>
      </c>
      <c r="B225" s="31"/>
      <c r="C225" s="32"/>
      <c r="D225" s="39"/>
      <c r="E225" s="90"/>
      <c r="F225" s="41">
        <f>round(F224*10%,0)</f>
        <v>29618463</v>
      </c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33" t="s">
        <v>16</v>
      </c>
      <c r="B226" s="31"/>
      <c r="C226" s="32"/>
      <c r="D226" s="39"/>
      <c r="E226" s="90"/>
      <c r="F226" s="41">
        <f>F224+F225</f>
        <v>325803092.8</v>
      </c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52" t="s">
        <v>62</v>
      </c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53"/>
      <c r="B233" s="53"/>
      <c r="C233" s="53"/>
      <c r="D233" s="53"/>
      <c r="E233" s="53"/>
      <c r="F233" s="53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9" t="s">
        <v>4</v>
      </c>
      <c r="B234" s="9" t="s">
        <v>5</v>
      </c>
      <c r="C234" s="9" t="s">
        <v>6</v>
      </c>
      <c r="D234" s="9" t="s">
        <v>7</v>
      </c>
      <c r="E234" s="9" t="s">
        <v>8</v>
      </c>
      <c r="F234" s="9" t="s">
        <v>9</v>
      </c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13">
        <v>1.0</v>
      </c>
      <c r="B235" s="54" t="s">
        <v>63</v>
      </c>
      <c r="C235" s="55">
        <v>46174.0</v>
      </c>
      <c r="D235" s="22">
        <v>11316.31</v>
      </c>
      <c r="E235" s="56"/>
      <c r="F235" s="28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30" t="s">
        <v>64</v>
      </c>
      <c r="B236" s="31"/>
      <c r="C236" s="32"/>
      <c r="D236" s="24">
        <f>round(D235*(1+10%),2)</f>
        <v>12447.94</v>
      </c>
      <c r="E236" s="57"/>
      <c r="F236" s="28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30" t="s">
        <v>24</v>
      </c>
      <c r="B237" s="31"/>
      <c r="C237" s="32"/>
      <c r="D237" s="24">
        <f>round(D236*10%,2)</f>
        <v>1244.79</v>
      </c>
      <c r="E237" s="57"/>
      <c r="F237" s="28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33" t="s">
        <v>9</v>
      </c>
      <c r="B238" s="31"/>
      <c r="C238" s="32"/>
      <c r="D238" s="39">
        <f>D236-D237</f>
        <v>11203.15</v>
      </c>
      <c r="E238" s="90">
        <v>26466.0</v>
      </c>
      <c r="F238" s="41">
        <f>D238*E238</f>
        <v>296502567.9</v>
      </c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33" t="s">
        <v>26</v>
      </c>
      <c r="B239" s="31"/>
      <c r="C239" s="32"/>
      <c r="D239" s="39"/>
      <c r="E239" s="90"/>
      <c r="F239" s="41">
        <f>round(F238*10%,0)</f>
        <v>29650257</v>
      </c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33" t="s">
        <v>16</v>
      </c>
      <c r="B240" s="31"/>
      <c r="C240" s="32"/>
      <c r="D240" s="39"/>
      <c r="E240" s="90"/>
      <c r="F240" s="41">
        <f>F238+F239</f>
        <v>326152824.9</v>
      </c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52" t="s">
        <v>62</v>
      </c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53"/>
      <c r="B247" s="53"/>
      <c r="C247" s="53"/>
      <c r="D247" s="53"/>
      <c r="E247" s="53"/>
      <c r="F247" s="53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9" t="s">
        <v>4</v>
      </c>
      <c r="B248" s="9" t="s">
        <v>5</v>
      </c>
      <c r="C248" s="9" t="s">
        <v>6</v>
      </c>
      <c r="D248" s="9" t="s">
        <v>7</v>
      </c>
      <c r="E248" s="9" t="s">
        <v>8</v>
      </c>
      <c r="F248" s="9" t="s">
        <v>9</v>
      </c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13">
        <v>1.0</v>
      </c>
      <c r="B249" s="54" t="s">
        <v>63</v>
      </c>
      <c r="C249" s="55">
        <v>46204.0</v>
      </c>
      <c r="D249" s="22">
        <v>11339.58</v>
      </c>
      <c r="E249" s="56"/>
      <c r="F249" s="28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30" t="s">
        <v>64</v>
      </c>
      <c r="B250" s="31"/>
      <c r="C250" s="32"/>
      <c r="D250" s="24">
        <f>round(D249*(1+10%),2)</f>
        <v>12473.54</v>
      </c>
      <c r="E250" s="57"/>
      <c r="F250" s="28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30" t="s">
        <v>24</v>
      </c>
      <c r="B251" s="31"/>
      <c r="C251" s="32"/>
      <c r="D251" s="24">
        <f>round(D250*10%,2)</f>
        <v>1247.35</v>
      </c>
      <c r="E251" s="57"/>
      <c r="F251" s="28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33" t="s">
        <v>9</v>
      </c>
      <c r="B252" s="31"/>
      <c r="C252" s="32"/>
      <c r="D252" s="39">
        <f>D250-D251</f>
        <v>11226.19</v>
      </c>
      <c r="E252" s="90">
        <v>26475.0</v>
      </c>
      <c r="F252" s="41">
        <f>D252*E252</f>
        <v>297213380.3</v>
      </c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33" t="s">
        <v>26</v>
      </c>
      <c r="B253" s="31"/>
      <c r="C253" s="32"/>
      <c r="D253" s="39"/>
      <c r="E253" s="90"/>
      <c r="F253" s="41">
        <f>round(F252*10%,0)</f>
        <v>29721338</v>
      </c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33" t="s">
        <v>16</v>
      </c>
      <c r="B254" s="31"/>
      <c r="C254" s="32"/>
      <c r="D254" s="39"/>
      <c r="E254" s="90"/>
      <c r="F254" s="41">
        <f>F252+F253</f>
        <v>326934718.3</v>
      </c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</sheetData>
  <mergeCells count="120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49:F49"/>
    <mergeCell ref="A53:C53"/>
    <mergeCell ref="A54:C54"/>
    <mergeCell ref="A55:C55"/>
    <mergeCell ref="A56:C56"/>
    <mergeCell ref="A57:C57"/>
    <mergeCell ref="A61:F61"/>
    <mergeCell ref="A65:C65"/>
    <mergeCell ref="A66:C66"/>
    <mergeCell ref="A67:C67"/>
    <mergeCell ref="A68:C68"/>
    <mergeCell ref="A69:C69"/>
    <mergeCell ref="A73:F73"/>
    <mergeCell ref="A77:C77"/>
    <mergeCell ref="A78:C78"/>
    <mergeCell ref="A79:C79"/>
    <mergeCell ref="A80:C80"/>
    <mergeCell ref="A81:C81"/>
    <mergeCell ref="A85:F85"/>
    <mergeCell ref="A89:C89"/>
    <mergeCell ref="A90:C90"/>
    <mergeCell ref="A91:C91"/>
    <mergeCell ref="A92:C92"/>
    <mergeCell ref="A93:C93"/>
    <mergeCell ref="A97:F97"/>
    <mergeCell ref="A196:C196"/>
    <mergeCell ref="A197:C197"/>
    <mergeCell ref="A198:C198"/>
    <mergeCell ref="A199:C199"/>
    <mergeCell ref="A200:C200"/>
    <mergeCell ref="A205:F205"/>
    <mergeCell ref="A209:C209"/>
    <mergeCell ref="A210:C210"/>
    <mergeCell ref="A211:C211"/>
    <mergeCell ref="A212:C212"/>
    <mergeCell ref="A213:C213"/>
    <mergeCell ref="A218:F218"/>
    <mergeCell ref="A222:C222"/>
    <mergeCell ref="A223:C223"/>
    <mergeCell ref="A101:C101"/>
    <mergeCell ref="A102:C102"/>
    <mergeCell ref="A103:C103"/>
    <mergeCell ref="A104:C104"/>
    <mergeCell ref="A105:C105"/>
    <mergeCell ref="A110:F110"/>
    <mergeCell ref="A114:C114"/>
    <mergeCell ref="A115:C115"/>
    <mergeCell ref="A116:C116"/>
    <mergeCell ref="A117:C117"/>
    <mergeCell ref="A118:C118"/>
    <mergeCell ref="A124:F124"/>
    <mergeCell ref="A128:C128"/>
    <mergeCell ref="A129:C129"/>
    <mergeCell ref="A130:C130"/>
    <mergeCell ref="A131:C131"/>
    <mergeCell ref="A132:C132"/>
    <mergeCell ref="A137:F137"/>
    <mergeCell ref="A141:C141"/>
    <mergeCell ref="A142:C142"/>
    <mergeCell ref="A143:C143"/>
    <mergeCell ref="A144:C144"/>
    <mergeCell ref="A145:C145"/>
    <mergeCell ref="A151:F151"/>
    <mergeCell ref="A155:C155"/>
    <mergeCell ref="A156:C156"/>
    <mergeCell ref="A157:C157"/>
    <mergeCell ref="A158:C158"/>
    <mergeCell ref="A159:C159"/>
    <mergeCell ref="A165:F165"/>
    <mergeCell ref="A169:C169"/>
    <mergeCell ref="A170:C170"/>
    <mergeCell ref="A171:C171"/>
    <mergeCell ref="A172:C172"/>
    <mergeCell ref="A173:C173"/>
    <mergeCell ref="A179:F179"/>
    <mergeCell ref="A183:C183"/>
    <mergeCell ref="A184:C184"/>
    <mergeCell ref="A185:C185"/>
    <mergeCell ref="A186:C186"/>
    <mergeCell ref="A187:C187"/>
    <mergeCell ref="A192:F192"/>
    <mergeCell ref="A239:C239"/>
    <mergeCell ref="A240:C240"/>
    <mergeCell ref="A246:F246"/>
    <mergeCell ref="A250:C250"/>
    <mergeCell ref="A251:C251"/>
    <mergeCell ref="A252:C252"/>
    <mergeCell ref="A253:C253"/>
    <mergeCell ref="A254:C254"/>
    <mergeCell ref="A224:C224"/>
    <mergeCell ref="A225:C225"/>
    <mergeCell ref="A226:C226"/>
    <mergeCell ref="A232:F232"/>
    <mergeCell ref="A236:C236"/>
    <mergeCell ref="A237:C237"/>
    <mergeCell ref="A238:C23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38"/>
    <col customWidth="1" min="2" max="2" width="62.63"/>
    <col customWidth="1" min="3" max="3" width="11.25"/>
    <col customWidth="1" min="4" max="4" width="21.0"/>
    <col customWidth="1" min="5" max="5" width="11.13"/>
    <col customWidth="1" min="6" max="6" width="18.88"/>
  </cols>
  <sheetData>
    <row r="1">
      <c r="A1" s="52" t="s">
        <v>65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53"/>
      <c r="B2" s="53"/>
      <c r="C2" s="53"/>
      <c r="D2" s="53"/>
      <c r="E2" s="53"/>
      <c r="F2" s="53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13">
        <v>1.0</v>
      </c>
      <c r="B4" s="54" t="s">
        <v>66</v>
      </c>
      <c r="C4" s="55">
        <v>45658.0</v>
      </c>
      <c r="D4" s="22">
        <v>994.25</v>
      </c>
      <c r="E4" s="56"/>
      <c r="F4" s="28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30" t="s">
        <v>21</v>
      </c>
      <c r="B5" s="31"/>
      <c r="C5" s="32"/>
      <c r="D5" s="24">
        <f>round(D4*(1+5.26%),2)</f>
        <v>1046.55</v>
      </c>
      <c r="E5" s="57"/>
      <c r="F5" s="28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30" t="s">
        <v>24</v>
      </c>
      <c r="B6" s="31"/>
      <c r="C6" s="32"/>
      <c r="D6" s="24">
        <f>round(D5*10%,2)</f>
        <v>104.66</v>
      </c>
      <c r="E6" s="57"/>
      <c r="F6" s="28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33" t="s">
        <v>9</v>
      </c>
      <c r="B7" s="31"/>
      <c r="C7" s="32"/>
      <c r="D7" s="39">
        <f>D5-D6</f>
        <v>941.89</v>
      </c>
      <c r="E7" s="90">
        <v>25295.0</v>
      </c>
      <c r="F7" s="41">
        <f>D7*E7</f>
        <v>23825107.55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33" t="s">
        <v>26</v>
      </c>
      <c r="B8" s="31"/>
      <c r="C8" s="32"/>
      <c r="D8" s="39"/>
      <c r="E8" s="90"/>
      <c r="F8" s="41">
        <f>round(F7*10%,0)</f>
        <v>2382511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33" t="s">
        <v>16</v>
      </c>
      <c r="B9" s="31"/>
      <c r="C9" s="32"/>
      <c r="D9" s="39"/>
      <c r="E9" s="90"/>
      <c r="F9" s="41">
        <f>F7+F8</f>
        <v>26207618.55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52" t="s">
        <v>65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53"/>
      <c r="B14" s="53"/>
      <c r="C14" s="53"/>
      <c r="D14" s="53"/>
      <c r="E14" s="53"/>
      <c r="F14" s="53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13">
        <v>1.0</v>
      </c>
      <c r="B16" s="54" t="s">
        <v>66</v>
      </c>
      <c r="C16" s="55">
        <v>45689.0</v>
      </c>
      <c r="D16" s="22">
        <v>1021.533</v>
      </c>
      <c r="E16" s="56"/>
      <c r="F16" s="28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30" t="s">
        <v>21</v>
      </c>
      <c r="B17" s="31"/>
      <c r="C17" s="32"/>
      <c r="D17" s="24">
        <f>round(D16*(1+5.26%),2)</f>
        <v>1075.27</v>
      </c>
      <c r="E17" s="57"/>
      <c r="F17" s="28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30" t="s">
        <v>24</v>
      </c>
      <c r="B18" s="31"/>
      <c r="C18" s="32"/>
      <c r="D18" s="24">
        <f>round(D17*10%,2)</f>
        <v>107.53</v>
      </c>
      <c r="E18" s="57"/>
      <c r="F18" s="28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33" t="s">
        <v>9</v>
      </c>
      <c r="B19" s="31"/>
      <c r="C19" s="32"/>
      <c r="D19" s="39">
        <f>D17-D18</f>
        <v>967.74</v>
      </c>
      <c r="E19" s="90">
        <v>25735.0</v>
      </c>
      <c r="F19" s="41">
        <f>D19*E19</f>
        <v>24904788.9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33" t="s">
        <v>26</v>
      </c>
      <c r="B20" s="31"/>
      <c r="C20" s="32"/>
      <c r="D20" s="39"/>
      <c r="E20" s="90"/>
      <c r="F20" s="41">
        <f>round(F19*10%,0)</f>
        <v>2490479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33" t="s">
        <v>16</v>
      </c>
      <c r="B21" s="31"/>
      <c r="C21" s="32"/>
      <c r="D21" s="39"/>
      <c r="E21" s="90"/>
      <c r="F21" s="41">
        <f>F19+F20</f>
        <v>27395267.9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52" t="s">
        <v>65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53"/>
      <c r="B26" s="53"/>
      <c r="C26" s="53"/>
      <c r="D26" s="53"/>
      <c r="E26" s="53"/>
      <c r="F26" s="53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13">
        <v>1.0</v>
      </c>
      <c r="B28" s="54" t="s">
        <v>66</v>
      </c>
      <c r="C28" s="55">
        <v>45717.0</v>
      </c>
      <c r="D28" s="22">
        <v>1024.25</v>
      </c>
      <c r="E28" s="56"/>
      <c r="F28" s="28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30" t="s">
        <v>21</v>
      </c>
      <c r="B29" s="31"/>
      <c r="C29" s="32"/>
      <c r="D29" s="24">
        <f>round(D28*(1+5.26%),2)</f>
        <v>1078.13</v>
      </c>
      <c r="E29" s="57"/>
      <c r="F29" s="28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30" t="s">
        <v>24</v>
      </c>
      <c r="B30" s="31"/>
      <c r="C30" s="32"/>
      <c r="D30" s="24">
        <f>round(D29*10%,2)</f>
        <v>107.81</v>
      </c>
      <c r="E30" s="57"/>
      <c r="F30" s="2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33" t="s">
        <v>9</v>
      </c>
      <c r="B31" s="31"/>
      <c r="C31" s="32"/>
      <c r="D31" s="39">
        <f>D29-D30</f>
        <v>970.32</v>
      </c>
      <c r="E31" s="90">
        <v>25775.0</v>
      </c>
      <c r="F31" s="41">
        <f>D31*E31</f>
        <v>25009998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33" t="s">
        <v>26</v>
      </c>
      <c r="B32" s="31"/>
      <c r="C32" s="32"/>
      <c r="D32" s="39"/>
      <c r="E32" s="90"/>
      <c r="F32" s="41">
        <f>round(F31*10%,0)</f>
        <v>2501000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33" t="s">
        <v>16</v>
      </c>
      <c r="B33" s="31"/>
      <c r="C33" s="32"/>
      <c r="D33" s="39"/>
      <c r="E33" s="90"/>
      <c r="F33" s="41">
        <f>F31+F32</f>
        <v>27510998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52" t="s">
        <v>65</v>
      </c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53"/>
      <c r="B38" s="53"/>
      <c r="C38" s="53"/>
      <c r="D38" s="53"/>
      <c r="E38" s="53"/>
      <c r="F38" s="53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13">
        <v>1.0</v>
      </c>
      <c r="B40" s="54" t="s">
        <v>66</v>
      </c>
      <c r="C40" s="55">
        <v>45748.0</v>
      </c>
      <c r="D40" s="22">
        <v>1024.25</v>
      </c>
      <c r="E40" s="56"/>
      <c r="F40" s="28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30" t="s">
        <v>21</v>
      </c>
      <c r="B41" s="31"/>
      <c r="C41" s="32"/>
      <c r="D41" s="24">
        <f>round(D40*(1+5.26%),2)</f>
        <v>1078.13</v>
      </c>
      <c r="E41" s="57"/>
      <c r="F41" s="28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30" t="s">
        <v>24</v>
      </c>
      <c r="B42" s="31"/>
      <c r="C42" s="32"/>
      <c r="D42" s="24">
        <f>round(D41*10%,2)</f>
        <v>107.81</v>
      </c>
      <c r="E42" s="57"/>
      <c r="F42" s="28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33" t="s">
        <v>9</v>
      </c>
      <c r="B43" s="31"/>
      <c r="C43" s="32"/>
      <c r="D43" s="39">
        <f>D41-D42</f>
        <v>970.32</v>
      </c>
      <c r="E43" s="90">
        <v>26190.0</v>
      </c>
      <c r="F43" s="41">
        <f>D43*E43</f>
        <v>25412680.8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33" t="s">
        <v>26</v>
      </c>
      <c r="B44" s="31"/>
      <c r="C44" s="32"/>
      <c r="D44" s="39"/>
      <c r="E44" s="90"/>
      <c r="F44" s="41">
        <f>round(F43*10%,0)</f>
        <v>2541268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33" t="s">
        <v>16</v>
      </c>
      <c r="B45" s="31"/>
      <c r="C45" s="32"/>
      <c r="D45" s="39"/>
      <c r="E45" s="90"/>
      <c r="F45" s="41">
        <f>F43+F44</f>
        <v>27953948.8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52" t="s">
        <v>65</v>
      </c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53"/>
      <c r="B50" s="53"/>
      <c r="C50" s="53"/>
      <c r="D50" s="53"/>
      <c r="E50" s="53"/>
      <c r="F50" s="53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13">
        <v>1.0</v>
      </c>
      <c r="B52" s="54" t="s">
        <v>66</v>
      </c>
      <c r="C52" s="55">
        <v>45778.0</v>
      </c>
      <c r="D52" s="22">
        <v>1024.25</v>
      </c>
      <c r="E52" s="56"/>
      <c r="F52" s="28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30" t="s">
        <v>21</v>
      </c>
      <c r="B53" s="31"/>
      <c r="C53" s="32"/>
      <c r="D53" s="24">
        <f>round(D52*(1+5.26%),2)</f>
        <v>1078.13</v>
      </c>
      <c r="E53" s="57"/>
      <c r="F53" s="28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30" t="s">
        <v>24</v>
      </c>
      <c r="B54" s="31"/>
      <c r="C54" s="32"/>
      <c r="D54" s="24">
        <f>round(D53*10%,2)</f>
        <v>107.81</v>
      </c>
      <c r="E54" s="57"/>
      <c r="F54" s="28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33" t="s">
        <v>9</v>
      </c>
      <c r="B55" s="31"/>
      <c r="C55" s="32"/>
      <c r="D55" s="39">
        <f>D53-D54</f>
        <v>970.32</v>
      </c>
      <c r="E55" s="90">
        <v>26225.0</v>
      </c>
      <c r="F55" s="41">
        <f>D55*E55</f>
        <v>25446642</v>
      </c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33" t="s">
        <v>26</v>
      </c>
      <c r="B56" s="31"/>
      <c r="C56" s="32"/>
      <c r="D56" s="39"/>
      <c r="E56" s="90"/>
      <c r="F56" s="41">
        <f>round(F55*10%,0)</f>
        <v>2544664</v>
      </c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33" t="s">
        <v>16</v>
      </c>
      <c r="B57" s="31"/>
      <c r="C57" s="32"/>
      <c r="D57" s="39"/>
      <c r="E57" s="90"/>
      <c r="F57" s="41">
        <f>F55+F56</f>
        <v>27991306</v>
      </c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52" t="s">
        <v>65</v>
      </c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53"/>
      <c r="B62" s="53"/>
      <c r="C62" s="53"/>
      <c r="D62" s="53"/>
      <c r="E62" s="53"/>
      <c r="F62" s="53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9" t="s">
        <v>4</v>
      </c>
      <c r="B63" s="9" t="s">
        <v>5</v>
      </c>
      <c r="C63" s="9" t="s">
        <v>6</v>
      </c>
      <c r="D63" s="9" t="s">
        <v>7</v>
      </c>
      <c r="E63" s="9" t="s">
        <v>8</v>
      </c>
      <c r="F63" s="9" t="s">
        <v>9</v>
      </c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13">
        <v>1.0</v>
      </c>
      <c r="B64" s="54" t="s">
        <v>66</v>
      </c>
      <c r="C64" s="55">
        <v>45809.0</v>
      </c>
      <c r="D64" s="22">
        <v>1071.04</v>
      </c>
      <c r="E64" s="56"/>
      <c r="F64" s="28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30" t="s">
        <v>21</v>
      </c>
      <c r="B65" s="31"/>
      <c r="C65" s="32"/>
      <c r="D65" s="24">
        <f>round(D64*(1+5.26%),2)</f>
        <v>1127.38</v>
      </c>
      <c r="E65" s="57"/>
      <c r="F65" s="28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30" t="s">
        <v>24</v>
      </c>
      <c r="B66" s="31"/>
      <c r="C66" s="32"/>
      <c r="D66" s="24">
        <f>round(D65*10%,2)</f>
        <v>112.74</v>
      </c>
      <c r="E66" s="57"/>
      <c r="F66" s="28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33" t="s">
        <v>9</v>
      </c>
      <c r="B67" s="31"/>
      <c r="C67" s="32"/>
      <c r="D67" s="39">
        <f>D65-D66</f>
        <v>1014.64</v>
      </c>
      <c r="E67" s="90">
        <v>26300.0</v>
      </c>
      <c r="F67" s="41">
        <f>D67*E67</f>
        <v>26685032</v>
      </c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33" t="s">
        <v>26</v>
      </c>
      <c r="B68" s="31"/>
      <c r="C68" s="32"/>
      <c r="D68" s="39"/>
      <c r="E68" s="90"/>
      <c r="F68" s="41">
        <f>round(F67*10%,0)</f>
        <v>2668503</v>
      </c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33" t="s">
        <v>16</v>
      </c>
      <c r="B69" s="31"/>
      <c r="C69" s="32"/>
      <c r="D69" s="39"/>
      <c r="E69" s="90"/>
      <c r="F69" s="41">
        <f>F67+F68</f>
        <v>29353535</v>
      </c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52" t="s">
        <v>65</v>
      </c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53"/>
      <c r="B74" s="53"/>
      <c r="C74" s="53"/>
      <c r="D74" s="53"/>
      <c r="E74" s="53"/>
      <c r="F74" s="53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9" t="s">
        <v>4</v>
      </c>
      <c r="B75" s="9" t="s">
        <v>5</v>
      </c>
      <c r="C75" s="9" t="s">
        <v>6</v>
      </c>
      <c r="D75" s="9" t="s">
        <v>7</v>
      </c>
      <c r="E75" s="9" t="s">
        <v>8</v>
      </c>
      <c r="F75" s="9" t="s">
        <v>9</v>
      </c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13">
        <v>1.0</v>
      </c>
      <c r="B76" s="54" t="s">
        <v>66</v>
      </c>
      <c r="C76" s="55">
        <v>45839.0</v>
      </c>
      <c r="D76" s="22">
        <v>1072.25</v>
      </c>
      <c r="E76" s="56"/>
      <c r="F76" s="28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30" t="s">
        <v>32</v>
      </c>
      <c r="B77" s="31"/>
      <c r="C77" s="32"/>
      <c r="D77" s="24">
        <f>round(D76*(1+10%),2)</f>
        <v>1179.48</v>
      </c>
      <c r="E77" s="57"/>
      <c r="F77" s="28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30" t="s">
        <v>24</v>
      </c>
      <c r="B78" s="31"/>
      <c r="C78" s="32"/>
      <c r="D78" s="24">
        <f>round(D77*10%,2)</f>
        <v>117.95</v>
      </c>
      <c r="E78" s="57"/>
      <c r="F78" s="28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33" t="s">
        <v>9</v>
      </c>
      <c r="B79" s="31"/>
      <c r="C79" s="32"/>
      <c r="D79" s="39">
        <f>D77-D78</f>
        <v>1061.53</v>
      </c>
      <c r="E79" s="90">
        <v>26382.0</v>
      </c>
      <c r="F79" s="41">
        <f>D79*E79</f>
        <v>28005284.46</v>
      </c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33" t="s">
        <v>26</v>
      </c>
      <c r="B80" s="31"/>
      <c r="C80" s="32"/>
      <c r="D80" s="39"/>
      <c r="E80" s="90"/>
      <c r="F80" s="41">
        <f>round(F79*10%,0)</f>
        <v>2800528</v>
      </c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33" t="s">
        <v>16</v>
      </c>
      <c r="B81" s="31"/>
      <c r="C81" s="32"/>
      <c r="D81" s="39"/>
      <c r="E81" s="90"/>
      <c r="F81" s="41">
        <f>F79+F80</f>
        <v>30805812.46</v>
      </c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52" t="s">
        <v>65</v>
      </c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53"/>
      <c r="B87" s="53"/>
      <c r="C87" s="53"/>
      <c r="D87" s="53"/>
      <c r="E87" s="53"/>
      <c r="F87" s="53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9" t="s">
        <v>4</v>
      </c>
      <c r="B88" s="9" t="s">
        <v>5</v>
      </c>
      <c r="C88" s="9" t="s">
        <v>6</v>
      </c>
      <c r="D88" s="9" t="s">
        <v>7</v>
      </c>
      <c r="E88" s="9" t="s">
        <v>8</v>
      </c>
      <c r="F88" s="9" t="s">
        <v>9</v>
      </c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13">
        <v>1.0</v>
      </c>
      <c r="B89" s="54" t="s">
        <v>66</v>
      </c>
      <c r="C89" s="55">
        <v>45870.0</v>
      </c>
      <c r="D89" s="22">
        <v>1072.25</v>
      </c>
      <c r="E89" s="56"/>
      <c r="F89" s="28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30" t="s">
        <v>32</v>
      </c>
      <c r="B90" s="31"/>
      <c r="C90" s="32"/>
      <c r="D90" s="24">
        <f>round(D89*(1+10%),2)</f>
        <v>1179.48</v>
      </c>
      <c r="E90" s="57"/>
      <c r="F90" s="28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30" t="s">
        <v>24</v>
      </c>
      <c r="B91" s="31"/>
      <c r="C91" s="32"/>
      <c r="D91" s="24">
        <f>round(D90*10%,2)</f>
        <v>117.95</v>
      </c>
      <c r="E91" s="57"/>
      <c r="F91" s="28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33" t="s">
        <v>9</v>
      </c>
      <c r="B92" s="31"/>
      <c r="C92" s="32"/>
      <c r="D92" s="39">
        <f>D90-D91</f>
        <v>1061.53</v>
      </c>
      <c r="E92" s="90">
        <v>26502.0</v>
      </c>
      <c r="F92" s="41">
        <f>D92*E92</f>
        <v>28132668.06</v>
      </c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33" t="s">
        <v>26</v>
      </c>
      <c r="B93" s="31"/>
      <c r="C93" s="32"/>
      <c r="D93" s="39"/>
      <c r="E93" s="90"/>
      <c r="F93" s="41">
        <f>round(F92*10%,0)</f>
        <v>2813267</v>
      </c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33" t="s">
        <v>16</v>
      </c>
      <c r="B94" s="31"/>
      <c r="C94" s="32"/>
      <c r="D94" s="39"/>
      <c r="E94" s="90"/>
      <c r="F94" s="41">
        <f>F92+F93</f>
        <v>30945935.06</v>
      </c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52" t="s">
        <v>65</v>
      </c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53"/>
      <c r="B100" s="53"/>
      <c r="C100" s="53"/>
      <c r="D100" s="53"/>
      <c r="E100" s="53"/>
      <c r="F100" s="53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9" t="s">
        <v>4</v>
      </c>
      <c r="B101" s="9" t="s">
        <v>5</v>
      </c>
      <c r="C101" s="9" t="s">
        <v>6</v>
      </c>
      <c r="D101" s="9" t="s">
        <v>7</v>
      </c>
      <c r="E101" s="9" t="s">
        <v>8</v>
      </c>
      <c r="F101" s="9" t="s">
        <v>9</v>
      </c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13">
        <v>1.0</v>
      </c>
      <c r="B102" s="54" t="s">
        <v>66</v>
      </c>
      <c r="C102" s="55">
        <v>45901.0</v>
      </c>
      <c r="D102" s="22">
        <v>1072.25</v>
      </c>
      <c r="E102" s="56"/>
      <c r="F102" s="28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30" t="s">
        <v>32</v>
      </c>
      <c r="B103" s="31"/>
      <c r="C103" s="32"/>
      <c r="D103" s="24">
        <f>round(D102*(1+10%),2)</f>
        <v>1179.48</v>
      </c>
      <c r="E103" s="57"/>
      <c r="F103" s="28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30" t="s">
        <v>24</v>
      </c>
      <c r="B104" s="31"/>
      <c r="C104" s="32"/>
      <c r="D104" s="24">
        <f>round(D103*10%,2)</f>
        <v>117.95</v>
      </c>
      <c r="E104" s="57"/>
      <c r="F104" s="28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33" t="s">
        <v>9</v>
      </c>
      <c r="B105" s="31"/>
      <c r="C105" s="32"/>
      <c r="D105" s="39">
        <f>D103-D104</f>
        <v>1061.53</v>
      </c>
      <c r="E105" s="90">
        <v>26446.0</v>
      </c>
      <c r="F105" s="41">
        <f>D105*E105</f>
        <v>28073222.38</v>
      </c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33" t="s">
        <v>26</v>
      </c>
      <c r="B106" s="31"/>
      <c r="C106" s="32"/>
      <c r="D106" s="39"/>
      <c r="E106" s="90"/>
      <c r="F106" s="41">
        <f>round(F105*10%,0)</f>
        <v>2807322</v>
      </c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33" t="s">
        <v>16</v>
      </c>
      <c r="B107" s="31"/>
      <c r="C107" s="32"/>
      <c r="D107" s="39"/>
      <c r="E107" s="90"/>
      <c r="F107" s="41">
        <f>F105+F106</f>
        <v>30880544.38</v>
      </c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52" t="s">
        <v>65</v>
      </c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53"/>
      <c r="B114" s="53"/>
      <c r="C114" s="53"/>
      <c r="D114" s="53"/>
      <c r="E114" s="53"/>
      <c r="F114" s="53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9" t="s">
        <v>4</v>
      </c>
      <c r="B115" s="9" t="s">
        <v>5</v>
      </c>
      <c r="C115" s="9" t="s">
        <v>6</v>
      </c>
      <c r="D115" s="9" t="s">
        <v>7</v>
      </c>
      <c r="E115" s="9" t="s">
        <v>8</v>
      </c>
      <c r="F115" s="9" t="s">
        <v>9</v>
      </c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13">
        <v>1.0</v>
      </c>
      <c r="B116" s="54" t="s">
        <v>66</v>
      </c>
      <c r="C116" s="55">
        <v>45931.0</v>
      </c>
      <c r="D116" s="22">
        <v>1117.36</v>
      </c>
      <c r="E116" s="56"/>
      <c r="F116" s="28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30" t="s">
        <v>32</v>
      </c>
      <c r="B117" s="31"/>
      <c r="C117" s="32"/>
      <c r="D117" s="24">
        <f>round(D116*(1+10%),2)</f>
        <v>1229.1</v>
      </c>
      <c r="E117" s="57"/>
      <c r="F117" s="28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30" t="s">
        <v>24</v>
      </c>
      <c r="B118" s="31"/>
      <c r="C118" s="32"/>
      <c r="D118" s="24">
        <f>round(D117*10%,2)</f>
        <v>122.91</v>
      </c>
      <c r="E118" s="57"/>
      <c r="F118" s="28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33" t="s">
        <v>9</v>
      </c>
      <c r="B119" s="31"/>
      <c r="C119" s="32"/>
      <c r="D119" s="39">
        <f>D117-D118</f>
        <v>1106.19</v>
      </c>
      <c r="E119" s="90">
        <v>26347.0</v>
      </c>
      <c r="F119" s="41">
        <f>D119*E119</f>
        <v>29144787.93</v>
      </c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33" t="s">
        <v>26</v>
      </c>
      <c r="B120" s="31"/>
      <c r="C120" s="32"/>
      <c r="D120" s="39"/>
      <c r="E120" s="90"/>
      <c r="F120" s="41">
        <f>round(F119*10%,0)</f>
        <v>2914479</v>
      </c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33" t="s">
        <v>16</v>
      </c>
      <c r="B121" s="31"/>
      <c r="C121" s="32"/>
      <c r="D121" s="39"/>
      <c r="E121" s="90"/>
      <c r="F121" s="41">
        <f>F119+F120</f>
        <v>32059266.93</v>
      </c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52" t="s">
        <v>65</v>
      </c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53"/>
      <c r="B127" s="53"/>
      <c r="C127" s="53"/>
      <c r="D127" s="53"/>
      <c r="E127" s="53"/>
      <c r="F127" s="53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9" t="s">
        <v>4</v>
      </c>
      <c r="B128" s="9" t="s">
        <v>5</v>
      </c>
      <c r="C128" s="9" t="s">
        <v>6</v>
      </c>
      <c r="D128" s="9" t="s">
        <v>7</v>
      </c>
      <c r="E128" s="9" t="s">
        <v>8</v>
      </c>
      <c r="F128" s="9" t="s">
        <v>9</v>
      </c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13">
        <v>1.0</v>
      </c>
      <c r="B129" s="54" t="s">
        <v>66</v>
      </c>
      <c r="C129" s="55">
        <v>45962.0</v>
      </c>
      <c r="D129" s="22">
        <v>1173.61</v>
      </c>
      <c r="E129" s="56"/>
      <c r="F129" s="28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30" t="s">
        <v>32</v>
      </c>
      <c r="B130" s="31"/>
      <c r="C130" s="32"/>
      <c r="D130" s="24">
        <f>round(D129*(1+10%),2)</f>
        <v>1290.97</v>
      </c>
      <c r="E130" s="57"/>
      <c r="F130" s="28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30" t="s">
        <v>24</v>
      </c>
      <c r="B131" s="31"/>
      <c r="C131" s="32"/>
      <c r="D131" s="24">
        <f>round(D130*10%,2)</f>
        <v>129.1</v>
      </c>
      <c r="E131" s="57"/>
      <c r="F131" s="28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33" t="s">
        <v>9</v>
      </c>
      <c r="B132" s="31"/>
      <c r="C132" s="32"/>
      <c r="D132" s="39">
        <f>D130-D131</f>
        <v>1161.87</v>
      </c>
      <c r="E132" s="90">
        <v>26412.0</v>
      </c>
      <c r="F132" s="41">
        <f>D132*E132</f>
        <v>30687310.44</v>
      </c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33" t="s">
        <v>26</v>
      </c>
      <c r="B133" s="31"/>
      <c r="C133" s="32"/>
      <c r="D133" s="39"/>
      <c r="E133" s="90"/>
      <c r="F133" s="41">
        <f>round(F132*10%,0)</f>
        <v>3068731</v>
      </c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33" t="s">
        <v>16</v>
      </c>
      <c r="B134" s="31"/>
      <c r="C134" s="32"/>
      <c r="D134" s="39"/>
      <c r="E134" s="90"/>
      <c r="F134" s="41">
        <f>F132+F133</f>
        <v>33756041.44</v>
      </c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52" t="s">
        <v>65</v>
      </c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53"/>
      <c r="B141" s="53"/>
      <c r="C141" s="53"/>
      <c r="D141" s="53"/>
      <c r="E141" s="53"/>
      <c r="F141" s="53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9" t="s">
        <v>4</v>
      </c>
      <c r="B142" s="9" t="s">
        <v>5</v>
      </c>
      <c r="C142" s="9" t="s">
        <v>6</v>
      </c>
      <c r="D142" s="9" t="s">
        <v>7</v>
      </c>
      <c r="E142" s="9" t="s">
        <v>8</v>
      </c>
      <c r="F142" s="9" t="s">
        <v>9</v>
      </c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13">
        <v>1.0</v>
      </c>
      <c r="B143" s="54" t="s">
        <v>66</v>
      </c>
      <c r="C143" s="55">
        <v>45992.0</v>
      </c>
      <c r="D143" s="22">
        <v>1201.41</v>
      </c>
      <c r="E143" s="56"/>
      <c r="F143" s="28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30" t="s">
        <v>32</v>
      </c>
      <c r="B144" s="31"/>
      <c r="C144" s="32"/>
      <c r="D144" s="24">
        <f>round(D143*(1+10%),2)</f>
        <v>1321.55</v>
      </c>
      <c r="E144" s="57"/>
      <c r="F144" s="28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30" t="s">
        <v>24</v>
      </c>
      <c r="B145" s="31"/>
      <c r="C145" s="32"/>
      <c r="D145" s="24">
        <f>round(D144*10%,2)</f>
        <v>132.16</v>
      </c>
      <c r="E145" s="57"/>
      <c r="F145" s="28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33" t="s">
        <v>9</v>
      </c>
      <c r="B146" s="31"/>
      <c r="C146" s="32"/>
      <c r="D146" s="39">
        <f>D144-D145</f>
        <v>1189.39</v>
      </c>
      <c r="E146" s="90">
        <v>26377.0</v>
      </c>
      <c r="F146" s="41">
        <f>D146*E146</f>
        <v>31372540.03</v>
      </c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33" t="s">
        <v>26</v>
      </c>
      <c r="B147" s="31"/>
      <c r="C147" s="32"/>
      <c r="D147" s="39"/>
      <c r="E147" s="90"/>
      <c r="F147" s="41">
        <f>round(F146*10%,0)</f>
        <v>3137254</v>
      </c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33" t="s">
        <v>16</v>
      </c>
      <c r="B148" s="31"/>
      <c r="C148" s="32"/>
      <c r="D148" s="39"/>
      <c r="E148" s="90"/>
      <c r="F148" s="41">
        <f>F146+F147</f>
        <v>34509794.03</v>
      </c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52" t="s">
        <v>65</v>
      </c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53"/>
      <c r="B155" s="53"/>
      <c r="C155" s="53"/>
      <c r="D155" s="53"/>
      <c r="E155" s="53"/>
      <c r="F155" s="53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9" t="s">
        <v>4</v>
      </c>
      <c r="B156" s="9" t="s">
        <v>5</v>
      </c>
      <c r="C156" s="9" t="s">
        <v>6</v>
      </c>
      <c r="D156" s="9" t="s">
        <v>7</v>
      </c>
      <c r="E156" s="9" t="s">
        <v>8</v>
      </c>
      <c r="F156" s="9" t="s">
        <v>9</v>
      </c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13">
        <v>1.0</v>
      </c>
      <c r="B157" s="54" t="s">
        <v>66</v>
      </c>
      <c r="C157" s="55">
        <v>46023.0</v>
      </c>
      <c r="D157" s="22">
        <v>1238.48</v>
      </c>
      <c r="E157" s="56"/>
      <c r="F157" s="28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30" t="s">
        <v>32</v>
      </c>
      <c r="B158" s="31"/>
      <c r="C158" s="32"/>
      <c r="D158" s="24">
        <f>round(D157*(1+10%),2)</f>
        <v>1362.33</v>
      </c>
      <c r="E158" s="57"/>
      <c r="F158" s="28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30" t="s">
        <v>24</v>
      </c>
      <c r="B159" s="31"/>
      <c r="C159" s="32"/>
      <c r="D159" s="24">
        <f>round(D158*10%,2)</f>
        <v>136.23</v>
      </c>
      <c r="E159" s="57"/>
      <c r="F159" s="28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33" t="s">
        <v>9</v>
      </c>
      <c r="B160" s="31"/>
      <c r="C160" s="32"/>
      <c r="D160" s="39">
        <f>D158-D159</f>
        <v>1226.1</v>
      </c>
      <c r="E160" s="90">
        <v>26145.0</v>
      </c>
      <c r="F160" s="41">
        <f>round(D160*E160,0)</f>
        <v>32056385</v>
      </c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33" t="s">
        <v>26</v>
      </c>
      <c r="B161" s="31"/>
      <c r="C161" s="32"/>
      <c r="D161" s="39"/>
      <c r="E161" s="90"/>
      <c r="F161" s="41">
        <f>round(F160*10%,1)</f>
        <v>3205638.5</v>
      </c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33" t="s">
        <v>16</v>
      </c>
      <c r="B162" s="31"/>
      <c r="C162" s="32"/>
      <c r="D162" s="39"/>
      <c r="E162" s="90"/>
      <c r="F162" s="41">
        <f>F160+F161</f>
        <v>35262023.5</v>
      </c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52" t="s">
        <v>65</v>
      </c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53"/>
      <c r="B169" s="53"/>
      <c r="C169" s="53"/>
      <c r="D169" s="53"/>
      <c r="E169" s="53"/>
      <c r="F169" s="53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9" t="s">
        <v>4</v>
      </c>
      <c r="B170" s="9" t="s">
        <v>5</v>
      </c>
      <c r="C170" s="9" t="s">
        <v>6</v>
      </c>
      <c r="D170" s="9" t="s">
        <v>7</v>
      </c>
      <c r="E170" s="9" t="s">
        <v>8</v>
      </c>
      <c r="F170" s="9" t="s">
        <v>9</v>
      </c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13">
        <v>1.0</v>
      </c>
      <c r="B171" s="54" t="s">
        <v>66</v>
      </c>
      <c r="C171" s="55">
        <v>46054.0</v>
      </c>
      <c r="D171" s="22">
        <v>1249.58</v>
      </c>
      <c r="E171" s="56"/>
      <c r="F171" s="28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30" t="s">
        <v>32</v>
      </c>
      <c r="B172" s="31"/>
      <c r="C172" s="32"/>
      <c r="D172" s="24">
        <f>round(D171*(1+10%),2)</f>
        <v>1374.54</v>
      </c>
      <c r="E172" s="57"/>
      <c r="F172" s="28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30" t="s">
        <v>24</v>
      </c>
      <c r="B173" s="31"/>
      <c r="C173" s="32"/>
      <c r="D173" s="24">
        <f>round(D172*10%,2)</f>
        <v>137.45</v>
      </c>
      <c r="E173" s="57"/>
      <c r="F173" s="28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33" t="s">
        <v>9</v>
      </c>
      <c r="B174" s="31"/>
      <c r="C174" s="32"/>
      <c r="D174" s="39">
        <f>D172-D173</f>
        <v>1237.09</v>
      </c>
      <c r="E174" s="90">
        <v>26240.0</v>
      </c>
      <c r="F174" s="41">
        <f>round(D174*E174,0)</f>
        <v>32461242</v>
      </c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33" t="s">
        <v>26</v>
      </c>
      <c r="B175" s="31"/>
      <c r="C175" s="32"/>
      <c r="D175" s="39"/>
      <c r="E175" s="90"/>
      <c r="F175" s="41">
        <f>round(F174*10%,1)</f>
        <v>3246124.2</v>
      </c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33" t="s">
        <v>16</v>
      </c>
      <c r="B176" s="31"/>
      <c r="C176" s="32"/>
      <c r="D176" s="39"/>
      <c r="E176" s="90"/>
      <c r="F176" s="41">
        <f>F174+F175</f>
        <v>35707366.2</v>
      </c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52" t="s">
        <v>65</v>
      </c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53"/>
      <c r="B183" s="53"/>
      <c r="C183" s="53"/>
      <c r="D183" s="53"/>
      <c r="E183" s="53"/>
      <c r="F183" s="53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9" t="s">
        <v>4</v>
      </c>
      <c r="B184" s="9" t="s">
        <v>5</v>
      </c>
      <c r="C184" s="9" t="s">
        <v>6</v>
      </c>
      <c r="D184" s="9" t="s">
        <v>7</v>
      </c>
      <c r="E184" s="9" t="s">
        <v>8</v>
      </c>
      <c r="F184" s="9" t="s">
        <v>9</v>
      </c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13">
        <v>1.0</v>
      </c>
      <c r="B185" s="54" t="s">
        <v>66</v>
      </c>
      <c r="C185" s="55">
        <v>46082.0</v>
      </c>
      <c r="D185" s="22">
        <v>1263.98</v>
      </c>
      <c r="E185" s="56"/>
      <c r="F185" s="28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30" t="s">
        <v>32</v>
      </c>
      <c r="B186" s="31"/>
      <c r="C186" s="32"/>
      <c r="D186" s="24">
        <f>round(D185*(1+10%),2)</f>
        <v>1390.38</v>
      </c>
      <c r="E186" s="57"/>
      <c r="F186" s="28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30" t="s">
        <v>24</v>
      </c>
      <c r="B187" s="31"/>
      <c r="C187" s="32"/>
      <c r="D187" s="24">
        <f>round(D186*10%,2)</f>
        <v>139.04</v>
      </c>
      <c r="E187" s="57"/>
      <c r="F187" s="28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33" t="s">
        <v>9</v>
      </c>
      <c r="B188" s="31"/>
      <c r="C188" s="32"/>
      <c r="D188" s="39">
        <f>D186-D187</f>
        <v>1251.34</v>
      </c>
      <c r="E188" s="90">
        <v>26357.0</v>
      </c>
      <c r="F188" s="41">
        <f>round(D188*E188,0)</f>
        <v>32981568</v>
      </c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33" t="s">
        <v>26</v>
      </c>
      <c r="B189" s="31"/>
      <c r="C189" s="32"/>
      <c r="D189" s="39"/>
      <c r="E189" s="90"/>
      <c r="F189" s="41">
        <f>round(F188*10%,1)</f>
        <v>3298156.8</v>
      </c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33" t="s">
        <v>16</v>
      </c>
      <c r="B190" s="31"/>
      <c r="C190" s="32"/>
      <c r="D190" s="39"/>
      <c r="E190" s="90"/>
      <c r="F190" s="41">
        <f>F188+F189</f>
        <v>36279724.8</v>
      </c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52" t="s">
        <v>65</v>
      </c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53"/>
      <c r="B197" s="53"/>
      <c r="C197" s="53"/>
      <c r="D197" s="53"/>
      <c r="E197" s="53"/>
      <c r="F197" s="53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9" t="s">
        <v>4</v>
      </c>
      <c r="B198" s="9" t="s">
        <v>5</v>
      </c>
      <c r="C198" s="9" t="s">
        <v>6</v>
      </c>
      <c r="D198" s="9" t="s">
        <v>7</v>
      </c>
      <c r="E198" s="9" t="s">
        <v>8</v>
      </c>
      <c r="F198" s="9" t="s">
        <v>9</v>
      </c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13">
        <v>1.0</v>
      </c>
      <c r="B199" s="54" t="s">
        <v>66</v>
      </c>
      <c r="C199" s="55">
        <v>46113.0</v>
      </c>
      <c r="D199" s="22">
        <v>1281.91</v>
      </c>
      <c r="E199" s="56"/>
      <c r="F199" s="28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30" t="s">
        <v>32</v>
      </c>
      <c r="B200" s="31"/>
      <c r="C200" s="32"/>
      <c r="D200" s="24">
        <f>round(D199*(1+10%),2)</f>
        <v>1410.1</v>
      </c>
      <c r="E200" s="57"/>
      <c r="F200" s="28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30" t="s">
        <v>24</v>
      </c>
      <c r="B201" s="31"/>
      <c r="C201" s="32"/>
      <c r="D201" s="24">
        <f>round(D200*10%,2)</f>
        <v>141.01</v>
      </c>
      <c r="E201" s="57"/>
      <c r="F201" s="28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33" t="s">
        <v>9</v>
      </c>
      <c r="B202" s="31"/>
      <c r="C202" s="32"/>
      <c r="D202" s="39">
        <f>D200-D201</f>
        <v>1269.09</v>
      </c>
      <c r="E202" s="90">
        <v>26368.0</v>
      </c>
      <c r="F202" s="41">
        <f>round(D202*E202,0)</f>
        <v>33463365</v>
      </c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33" t="s">
        <v>26</v>
      </c>
      <c r="B203" s="31"/>
      <c r="C203" s="32"/>
      <c r="D203" s="39"/>
      <c r="E203" s="90"/>
      <c r="F203" s="41">
        <f>round(F202*10%,1)</f>
        <v>3346336.5</v>
      </c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33" t="s">
        <v>16</v>
      </c>
      <c r="B204" s="31"/>
      <c r="C204" s="32"/>
      <c r="D204" s="39"/>
      <c r="E204" s="90"/>
      <c r="F204" s="41">
        <f>F202+F203</f>
        <v>36809701.5</v>
      </c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52" t="s">
        <v>65</v>
      </c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53"/>
      <c r="B211" s="53"/>
      <c r="C211" s="53"/>
      <c r="D211" s="53"/>
      <c r="E211" s="53"/>
      <c r="F211" s="53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9" t="s">
        <v>4</v>
      </c>
      <c r="B212" s="9" t="s">
        <v>5</v>
      </c>
      <c r="C212" s="9" t="s">
        <v>6</v>
      </c>
      <c r="D212" s="9" t="s">
        <v>7</v>
      </c>
      <c r="E212" s="9" t="s">
        <v>8</v>
      </c>
      <c r="F212" s="9" t="s">
        <v>9</v>
      </c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13">
        <v>1.0</v>
      </c>
      <c r="B213" s="54" t="s">
        <v>66</v>
      </c>
      <c r="C213" s="55">
        <v>46143.0</v>
      </c>
      <c r="D213" s="22">
        <v>1285.11</v>
      </c>
      <c r="E213" s="56"/>
      <c r="F213" s="28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30" t="s">
        <v>32</v>
      </c>
      <c r="B214" s="31"/>
      <c r="C214" s="32"/>
      <c r="D214" s="24">
        <f>round(D213*(1+10%),2)</f>
        <v>1413.62</v>
      </c>
      <c r="E214" s="57"/>
      <c r="F214" s="28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30" t="s">
        <v>24</v>
      </c>
      <c r="B215" s="31"/>
      <c r="C215" s="32"/>
      <c r="D215" s="24">
        <f>round(D214*10%,2)</f>
        <v>141.36</v>
      </c>
      <c r="E215" s="57"/>
      <c r="F215" s="28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33" t="s">
        <v>9</v>
      </c>
      <c r="B216" s="31"/>
      <c r="C216" s="32"/>
      <c r="D216" s="39">
        <f>D214-D215</f>
        <v>1272.26</v>
      </c>
      <c r="E216" s="90">
        <v>26395.0</v>
      </c>
      <c r="F216" s="41">
        <f>round(D216*E216,0)</f>
        <v>33581303</v>
      </c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33" t="s">
        <v>26</v>
      </c>
      <c r="B217" s="31"/>
      <c r="C217" s="32"/>
      <c r="D217" s="39"/>
      <c r="E217" s="90"/>
      <c r="F217" s="41">
        <f>round(F216*10%,1)</f>
        <v>3358130.3</v>
      </c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33" t="s">
        <v>16</v>
      </c>
      <c r="B218" s="31"/>
      <c r="C218" s="32"/>
      <c r="D218" s="39"/>
      <c r="E218" s="90"/>
      <c r="F218" s="41">
        <f>F216+F217</f>
        <v>36939433.3</v>
      </c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52" t="s">
        <v>65</v>
      </c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53"/>
      <c r="B224" s="53"/>
      <c r="C224" s="53"/>
      <c r="D224" s="53"/>
      <c r="E224" s="53"/>
      <c r="F224" s="53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9" t="s">
        <v>4</v>
      </c>
      <c r="B225" s="9" t="s">
        <v>5</v>
      </c>
      <c r="C225" s="9" t="s">
        <v>6</v>
      </c>
      <c r="D225" s="9" t="s">
        <v>7</v>
      </c>
      <c r="E225" s="9" t="s">
        <v>8</v>
      </c>
      <c r="F225" s="9" t="s">
        <v>9</v>
      </c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13">
        <v>1.0</v>
      </c>
      <c r="B226" s="54" t="s">
        <v>66</v>
      </c>
      <c r="C226" s="55">
        <v>46174.0</v>
      </c>
      <c r="D226" s="22">
        <v>1326.11</v>
      </c>
      <c r="E226" s="56"/>
      <c r="F226" s="28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30" t="s">
        <v>32</v>
      </c>
      <c r="B227" s="31"/>
      <c r="C227" s="32"/>
      <c r="D227" s="24">
        <f>round(D226*(1+10%),2)</f>
        <v>1458.72</v>
      </c>
      <c r="E227" s="57"/>
      <c r="F227" s="28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30" t="s">
        <v>24</v>
      </c>
      <c r="B228" s="31"/>
      <c r="C228" s="32"/>
      <c r="D228" s="24">
        <f>round(D227*10%,2)</f>
        <v>145.87</v>
      </c>
      <c r="E228" s="57"/>
      <c r="F228" s="28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33" t="s">
        <v>9</v>
      </c>
      <c r="B229" s="31"/>
      <c r="C229" s="32"/>
      <c r="D229" s="39">
        <f>D227-D228</f>
        <v>1312.85</v>
      </c>
      <c r="E229" s="90">
        <v>26466.0</v>
      </c>
      <c r="F229" s="41">
        <f>round(D229*E229,0)</f>
        <v>34745888</v>
      </c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33" t="s">
        <v>26</v>
      </c>
      <c r="B230" s="31"/>
      <c r="C230" s="32"/>
      <c r="D230" s="39"/>
      <c r="E230" s="90"/>
      <c r="F230" s="41">
        <f>round(F229*10%,1)</f>
        <v>3474588.8</v>
      </c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33" t="s">
        <v>16</v>
      </c>
      <c r="B231" s="31"/>
      <c r="C231" s="32"/>
      <c r="D231" s="39"/>
      <c r="E231" s="90"/>
      <c r="F231" s="41">
        <f>F229+F230</f>
        <v>38220476.8</v>
      </c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52" t="s">
        <v>65</v>
      </c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53"/>
      <c r="B237" s="53"/>
      <c r="C237" s="53"/>
      <c r="D237" s="53"/>
      <c r="E237" s="53"/>
      <c r="F237" s="53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9" t="s">
        <v>4</v>
      </c>
      <c r="B238" s="9" t="s">
        <v>5</v>
      </c>
      <c r="C238" s="9" t="s">
        <v>6</v>
      </c>
      <c r="D238" s="9" t="s">
        <v>7</v>
      </c>
      <c r="E238" s="9" t="s">
        <v>8</v>
      </c>
      <c r="F238" s="9" t="s">
        <v>9</v>
      </c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13">
        <v>1.0</v>
      </c>
      <c r="B239" s="54" t="s">
        <v>66</v>
      </c>
      <c r="C239" s="55">
        <v>46204.0</v>
      </c>
      <c r="D239" s="22">
        <v>1362.11</v>
      </c>
      <c r="E239" s="56"/>
      <c r="F239" s="28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30" t="s">
        <v>32</v>
      </c>
      <c r="B240" s="31"/>
      <c r="C240" s="32"/>
      <c r="D240" s="24">
        <f>round(D239*(1+10%),2)</f>
        <v>1498.32</v>
      </c>
      <c r="E240" s="57"/>
      <c r="F240" s="28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30" t="s">
        <v>24</v>
      </c>
      <c r="B241" s="31"/>
      <c r="C241" s="32"/>
      <c r="D241" s="24">
        <f>round(D240*10%,2)</f>
        <v>149.83</v>
      </c>
      <c r="E241" s="57"/>
      <c r="F241" s="28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33" t="s">
        <v>9</v>
      </c>
      <c r="B242" s="31"/>
      <c r="C242" s="32"/>
      <c r="D242" s="39">
        <f>D240-D241</f>
        <v>1348.49</v>
      </c>
      <c r="E242" s="90">
        <v>26475.0</v>
      </c>
      <c r="F242" s="41">
        <f>round(D242*E242,0)</f>
        <v>35701273</v>
      </c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33" t="s">
        <v>26</v>
      </c>
      <c r="B243" s="31"/>
      <c r="C243" s="32"/>
      <c r="D243" s="39"/>
      <c r="E243" s="90"/>
      <c r="F243" s="41">
        <f>round(F242*10%,1)</f>
        <v>3570127.3</v>
      </c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33" t="s">
        <v>16</v>
      </c>
      <c r="B244" s="31"/>
      <c r="C244" s="32"/>
      <c r="D244" s="39"/>
      <c r="E244" s="90"/>
      <c r="F244" s="41">
        <f>F242+F243</f>
        <v>39271400.3</v>
      </c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</sheetData>
  <mergeCells count="114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49:F49"/>
    <mergeCell ref="A53:C53"/>
    <mergeCell ref="A54:C54"/>
    <mergeCell ref="A55:C55"/>
    <mergeCell ref="A56:C56"/>
    <mergeCell ref="A57:C57"/>
    <mergeCell ref="A61:F61"/>
    <mergeCell ref="A65:C65"/>
    <mergeCell ref="A66:C66"/>
    <mergeCell ref="A67:C67"/>
    <mergeCell ref="A68:C68"/>
    <mergeCell ref="A69:C69"/>
    <mergeCell ref="A73:F73"/>
    <mergeCell ref="A77:C77"/>
    <mergeCell ref="A78:C78"/>
    <mergeCell ref="A79:C79"/>
    <mergeCell ref="A80:C80"/>
    <mergeCell ref="A81:C81"/>
    <mergeCell ref="A86:F86"/>
    <mergeCell ref="A90:C90"/>
    <mergeCell ref="A91:C91"/>
    <mergeCell ref="A92:C92"/>
    <mergeCell ref="A93:C93"/>
    <mergeCell ref="A94:C94"/>
    <mergeCell ref="A99:F99"/>
    <mergeCell ref="A200:C200"/>
    <mergeCell ref="A201:C201"/>
    <mergeCell ref="A202:C202"/>
    <mergeCell ref="A203:C203"/>
    <mergeCell ref="A204:C204"/>
    <mergeCell ref="A210:F210"/>
    <mergeCell ref="A214:C214"/>
    <mergeCell ref="A215:C215"/>
    <mergeCell ref="A216:C216"/>
    <mergeCell ref="A217:C217"/>
    <mergeCell ref="A218:C218"/>
    <mergeCell ref="A223:F223"/>
    <mergeCell ref="A227:C227"/>
    <mergeCell ref="A228:C228"/>
    <mergeCell ref="A103:C103"/>
    <mergeCell ref="A104:C104"/>
    <mergeCell ref="A105:C105"/>
    <mergeCell ref="A106:C106"/>
    <mergeCell ref="A107:C107"/>
    <mergeCell ref="A113:F113"/>
    <mergeCell ref="A117:C117"/>
    <mergeCell ref="A118:C118"/>
    <mergeCell ref="A119:C119"/>
    <mergeCell ref="A120:C120"/>
    <mergeCell ref="A121:C121"/>
    <mergeCell ref="A126:F126"/>
    <mergeCell ref="A130:C130"/>
    <mergeCell ref="A131:C131"/>
    <mergeCell ref="A132:C132"/>
    <mergeCell ref="A133:C133"/>
    <mergeCell ref="A134:C134"/>
    <mergeCell ref="A140:F140"/>
    <mergeCell ref="A144:C144"/>
    <mergeCell ref="A145:C145"/>
    <mergeCell ref="A146:C146"/>
    <mergeCell ref="A147:C147"/>
    <mergeCell ref="A148:C148"/>
    <mergeCell ref="A154:F154"/>
    <mergeCell ref="A158:C158"/>
    <mergeCell ref="A159:C159"/>
    <mergeCell ref="A160:C160"/>
    <mergeCell ref="A161:C161"/>
    <mergeCell ref="A162:C162"/>
    <mergeCell ref="A168:F168"/>
    <mergeCell ref="A172:C172"/>
    <mergeCell ref="A173:C173"/>
    <mergeCell ref="A174:C174"/>
    <mergeCell ref="A175:C175"/>
    <mergeCell ref="A176:C176"/>
    <mergeCell ref="A182:F182"/>
    <mergeCell ref="A186:C186"/>
    <mergeCell ref="A187:C187"/>
    <mergeCell ref="A188:C188"/>
    <mergeCell ref="A189:C189"/>
    <mergeCell ref="A190:C190"/>
    <mergeCell ref="A196:F196"/>
    <mergeCell ref="A243:C243"/>
    <mergeCell ref="A244:C244"/>
    <mergeCell ref="A229:C229"/>
    <mergeCell ref="A230:C230"/>
    <mergeCell ref="A231:C231"/>
    <mergeCell ref="A236:F236"/>
    <mergeCell ref="A240:C240"/>
    <mergeCell ref="A241:C241"/>
    <mergeCell ref="A242:C24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8.5"/>
    <col customWidth="1" min="3" max="3" width="12.88"/>
    <col customWidth="1" min="4" max="4" width="18.88"/>
    <col customWidth="1" min="5" max="5" width="12.63"/>
    <col customWidth="1" min="6" max="6" width="21.13"/>
  </cols>
  <sheetData>
    <row r="1">
      <c r="A1" s="52" t="s">
        <v>67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53"/>
      <c r="B2" s="53"/>
      <c r="C2" s="53"/>
      <c r="D2" s="53"/>
      <c r="E2" s="53"/>
      <c r="F2" s="53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13">
        <v>1.0</v>
      </c>
      <c r="B4" s="54" t="s">
        <v>68</v>
      </c>
      <c r="C4" s="55">
        <v>45689.0</v>
      </c>
      <c r="D4" s="22">
        <v>29.4</v>
      </c>
      <c r="E4" s="56"/>
      <c r="F4" s="28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30" t="s">
        <v>21</v>
      </c>
      <c r="B5" s="31"/>
      <c r="C5" s="32"/>
      <c r="D5" s="24">
        <f>round(D4*(1+5.26%),2)</f>
        <v>30.95</v>
      </c>
      <c r="E5" s="57"/>
      <c r="F5" s="28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30" t="s">
        <v>24</v>
      </c>
      <c r="B6" s="31"/>
      <c r="C6" s="32"/>
      <c r="D6" s="24">
        <f>round(D5*10%,2)</f>
        <v>3.1</v>
      </c>
      <c r="E6" s="57"/>
      <c r="F6" s="28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33" t="s">
        <v>9</v>
      </c>
      <c r="B7" s="31"/>
      <c r="C7" s="32"/>
      <c r="D7" s="39">
        <f>D5-D6</f>
        <v>27.85</v>
      </c>
      <c r="E7" s="90">
        <v>25735.0</v>
      </c>
      <c r="F7" s="41">
        <f>D7*E7</f>
        <v>716719.75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33" t="s">
        <v>26</v>
      </c>
      <c r="B8" s="31"/>
      <c r="C8" s="32"/>
      <c r="D8" s="39"/>
      <c r="E8" s="90"/>
      <c r="F8" s="41">
        <f>round(F7*10%,0)</f>
        <v>71672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33" t="s">
        <v>16</v>
      </c>
      <c r="B9" s="31"/>
      <c r="C9" s="32"/>
      <c r="D9" s="39"/>
      <c r="E9" s="90"/>
      <c r="F9" s="41">
        <f>F7+F8</f>
        <v>788391.75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52" t="s">
        <v>67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53"/>
      <c r="B14" s="53"/>
      <c r="C14" s="53"/>
      <c r="D14" s="53"/>
      <c r="E14" s="53"/>
      <c r="F14" s="53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13">
        <v>1.0</v>
      </c>
      <c r="B16" s="54" t="s">
        <v>68</v>
      </c>
      <c r="C16" s="55">
        <v>45717.0</v>
      </c>
      <c r="D16" s="22">
        <v>878.0</v>
      </c>
      <c r="E16" s="56"/>
      <c r="F16" s="28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30" t="s">
        <v>21</v>
      </c>
      <c r="B17" s="31"/>
      <c r="C17" s="32"/>
      <c r="D17" s="24">
        <f>round(D16*(1+5.26%),2)</f>
        <v>924.18</v>
      </c>
      <c r="E17" s="57"/>
      <c r="F17" s="28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30" t="s">
        <v>24</v>
      </c>
      <c r="B18" s="31"/>
      <c r="C18" s="32"/>
      <c r="D18" s="24">
        <f>round(D17*10%,2)</f>
        <v>92.42</v>
      </c>
      <c r="E18" s="57"/>
      <c r="F18" s="28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33" t="s">
        <v>9</v>
      </c>
      <c r="B19" s="31"/>
      <c r="C19" s="32"/>
      <c r="D19" s="39">
        <f>D17-D18</f>
        <v>831.76</v>
      </c>
      <c r="E19" s="90">
        <v>25775.0</v>
      </c>
      <c r="F19" s="41">
        <f>D19*E19</f>
        <v>21438614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33" t="s">
        <v>26</v>
      </c>
      <c r="B20" s="31"/>
      <c r="C20" s="32"/>
      <c r="D20" s="39"/>
      <c r="E20" s="90"/>
      <c r="F20" s="41">
        <f>round(F19*10%,0)</f>
        <v>2143861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33" t="s">
        <v>16</v>
      </c>
      <c r="B21" s="31"/>
      <c r="C21" s="32"/>
      <c r="D21" s="39"/>
      <c r="E21" s="90"/>
      <c r="F21" s="41">
        <f>F19+F20</f>
        <v>23582475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52" t="s">
        <v>67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53"/>
      <c r="B26" s="53"/>
      <c r="C26" s="53"/>
      <c r="D26" s="53"/>
      <c r="E26" s="53"/>
      <c r="F26" s="53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13">
        <v>1.0</v>
      </c>
      <c r="B28" s="54" t="s">
        <v>68</v>
      </c>
      <c r="C28" s="55">
        <v>45748.0</v>
      </c>
      <c r="D28" s="22">
        <v>824.53</v>
      </c>
      <c r="E28" s="56"/>
      <c r="F28" s="28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30" t="s">
        <v>21</v>
      </c>
      <c r="B29" s="31"/>
      <c r="C29" s="32"/>
      <c r="D29" s="24">
        <f>round(D28*(1+5.26%),2)</f>
        <v>867.9</v>
      </c>
      <c r="E29" s="57"/>
      <c r="F29" s="28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30" t="s">
        <v>24</v>
      </c>
      <c r="B30" s="31"/>
      <c r="C30" s="32"/>
      <c r="D30" s="24">
        <f>round(D29*10%,2)</f>
        <v>86.79</v>
      </c>
      <c r="E30" s="57"/>
      <c r="F30" s="2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33" t="s">
        <v>9</v>
      </c>
      <c r="B31" s="31"/>
      <c r="C31" s="32"/>
      <c r="D31" s="39">
        <f>D29-D30</f>
        <v>781.11</v>
      </c>
      <c r="E31" s="90">
        <v>26190.0</v>
      </c>
      <c r="F31" s="41">
        <f>D31*E31</f>
        <v>20457270.9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33" t="s">
        <v>26</v>
      </c>
      <c r="B32" s="31"/>
      <c r="C32" s="32"/>
      <c r="D32" s="39"/>
      <c r="E32" s="90"/>
      <c r="F32" s="41">
        <f>round(F31*10%,0)</f>
        <v>2045727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33" t="s">
        <v>16</v>
      </c>
      <c r="B33" s="31"/>
      <c r="C33" s="32"/>
      <c r="D33" s="39"/>
      <c r="E33" s="90"/>
      <c r="F33" s="41">
        <f>F31+F32</f>
        <v>22502997.9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52" t="s">
        <v>67</v>
      </c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53"/>
      <c r="B38" s="53"/>
      <c r="C38" s="53"/>
      <c r="D38" s="53"/>
      <c r="E38" s="53"/>
      <c r="F38" s="53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13">
        <v>1.0</v>
      </c>
      <c r="B40" s="54" t="s">
        <v>68</v>
      </c>
      <c r="C40" s="55">
        <v>45778.0</v>
      </c>
      <c r="D40" s="22">
        <v>815.43</v>
      </c>
      <c r="E40" s="56"/>
      <c r="F40" s="28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30" t="s">
        <v>21</v>
      </c>
      <c r="B41" s="31"/>
      <c r="C41" s="32"/>
      <c r="D41" s="24">
        <f>round(D40*(1+5.26%),2)</f>
        <v>858.32</v>
      </c>
      <c r="E41" s="57"/>
      <c r="F41" s="28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30" t="s">
        <v>24</v>
      </c>
      <c r="B42" s="31"/>
      <c r="C42" s="32"/>
      <c r="D42" s="24">
        <f>round(D41*10%,2)</f>
        <v>85.83</v>
      </c>
      <c r="E42" s="57"/>
      <c r="F42" s="28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33" t="s">
        <v>9</v>
      </c>
      <c r="B43" s="31"/>
      <c r="C43" s="32"/>
      <c r="D43" s="39">
        <f>D41-D42</f>
        <v>772.49</v>
      </c>
      <c r="E43" s="90">
        <v>26225.0</v>
      </c>
      <c r="F43" s="41">
        <f>D43*E43</f>
        <v>20258550.25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33" t="s">
        <v>26</v>
      </c>
      <c r="B44" s="31"/>
      <c r="C44" s="32"/>
      <c r="D44" s="39"/>
      <c r="E44" s="90"/>
      <c r="F44" s="41">
        <f>round(F43*10%,0)</f>
        <v>2025855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33" t="s">
        <v>16</v>
      </c>
      <c r="B45" s="31"/>
      <c r="C45" s="32"/>
      <c r="D45" s="39"/>
      <c r="E45" s="90"/>
      <c r="F45" s="41">
        <f>F43+F44</f>
        <v>22284405.25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52" t="s">
        <v>67</v>
      </c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53"/>
      <c r="B50" s="53"/>
      <c r="C50" s="53"/>
      <c r="D50" s="53"/>
      <c r="E50" s="53"/>
      <c r="F50" s="53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13">
        <v>1.0</v>
      </c>
      <c r="B52" s="54" t="s">
        <v>68</v>
      </c>
      <c r="C52" s="55">
        <v>45809.0</v>
      </c>
      <c r="D52" s="22">
        <v>1026.79</v>
      </c>
      <c r="E52" s="56"/>
      <c r="F52" s="28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30" t="s">
        <v>21</v>
      </c>
      <c r="B53" s="31"/>
      <c r="C53" s="32"/>
      <c r="D53" s="24">
        <f>round(D52*(1+5.26%),2)</f>
        <v>1080.8</v>
      </c>
      <c r="E53" s="57"/>
      <c r="F53" s="28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30" t="s">
        <v>24</v>
      </c>
      <c r="B54" s="31"/>
      <c r="C54" s="32"/>
      <c r="D54" s="24">
        <f>round(D53*10%,2)</f>
        <v>108.08</v>
      </c>
      <c r="E54" s="57"/>
      <c r="F54" s="28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33" t="s">
        <v>9</v>
      </c>
      <c r="B55" s="31"/>
      <c r="C55" s="32"/>
      <c r="D55" s="39">
        <f>D53-D54</f>
        <v>972.72</v>
      </c>
      <c r="E55" s="90">
        <v>26300.0</v>
      </c>
      <c r="F55" s="41">
        <f>D55*E55</f>
        <v>25582536</v>
      </c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33" t="s">
        <v>26</v>
      </c>
      <c r="B56" s="31"/>
      <c r="C56" s="32"/>
      <c r="D56" s="39"/>
      <c r="E56" s="90"/>
      <c r="F56" s="41">
        <f>round(F55*10%,0)</f>
        <v>2558254</v>
      </c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33" t="s">
        <v>16</v>
      </c>
      <c r="B57" s="31"/>
      <c r="C57" s="32"/>
      <c r="D57" s="39"/>
      <c r="E57" s="90"/>
      <c r="F57" s="41">
        <f>F55+F56</f>
        <v>28140790</v>
      </c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52" t="s">
        <v>67</v>
      </c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53"/>
      <c r="B62" s="53"/>
      <c r="C62" s="53"/>
      <c r="D62" s="53"/>
      <c r="E62" s="53"/>
      <c r="F62" s="53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9" t="s">
        <v>4</v>
      </c>
      <c r="B63" s="9" t="s">
        <v>5</v>
      </c>
      <c r="C63" s="9" t="s">
        <v>6</v>
      </c>
      <c r="D63" s="9" t="s">
        <v>7</v>
      </c>
      <c r="E63" s="9" t="s">
        <v>8</v>
      </c>
      <c r="F63" s="9" t="s">
        <v>9</v>
      </c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13">
        <v>1.0</v>
      </c>
      <c r="B64" s="54" t="s">
        <v>68</v>
      </c>
      <c r="C64" s="55">
        <v>45839.0</v>
      </c>
      <c r="D64" s="22">
        <v>824.39</v>
      </c>
      <c r="E64" s="56"/>
      <c r="F64" s="28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30" t="s">
        <v>32</v>
      </c>
      <c r="B65" s="31"/>
      <c r="C65" s="32"/>
      <c r="D65" s="24">
        <f>round(D64*(1+10%),2)</f>
        <v>906.83</v>
      </c>
      <c r="E65" s="57"/>
      <c r="F65" s="28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30" t="s">
        <v>24</v>
      </c>
      <c r="B66" s="31"/>
      <c r="C66" s="32"/>
      <c r="D66" s="24">
        <f>round(D65*10%,2)</f>
        <v>90.68</v>
      </c>
      <c r="E66" s="57"/>
      <c r="F66" s="28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33" t="s">
        <v>9</v>
      </c>
      <c r="B67" s="31"/>
      <c r="C67" s="32"/>
      <c r="D67" s="39">
        <f>D65-D66</f>
        <v>816.15</v>
      </c>
      <c r="E67" s="90">
        <v>26382.0</v>
      </c>
      <c r="F67" s="41">
        <f>D67*E67</f>
        <v>21531669.3</v>
      </c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33" t="s">
        <v>26</v>
      </c>
      <c r="B68" s="31"/>
      <c r="C68" s="32"/>
      <c r="D68" s="39"/>
      <c r="E68" s="90"/>
      <c r="F68" s="41">
        <f>round(F67*10%,0)</f>
        <v>2153167</v>
      </c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33" t="s">
        <v>16</v>
      </c>
      <c r="B69" s="31"/>
      <c r="C69" s="32"/>
      <c r="D69" s="39"/>
      <c r="E69" s="90"/>
      <c r="F69" s="41">
        <f>F67+F68</f>
        <v>23684836.3</v>
      </c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</sheetData>
  <mergeCells count="36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56:C56"/>
    <mergeCell ref="A57:C57"/>
    <mergeCell ref="A61:F61"/>
    <mergeCell ref="A65:C65"/>
    <mergeCell ref="A66:C66"/>
    <mergeCell ref="A67:C67"/>
    <mergeCell ref="A68:C68"/>
    <mergeCell ref="A69:C69"/>
    <mergeCell ref="A43:C43"/>
    <mergeCell ref="A44:C44"/>
    <mergeCell ref="A45:C45"/>
    <mergeCell ref="A49:F49"/>
    <mergeCell ref="A53:C53"/>
    <mergeCell ref="A54:C54"/>
    <mergeCell ref="A55:C5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88"/>
    <col customWidth="1" min="2" max="2" width="50.63"/>
    <col customWidth="1" min="3" max="3" width="13.13"/>
    <col customWidth="1" min="4" max="4" width="21.0"/>
    <col customWidth="1" min="5" max="5" width="12.0"/>
    <col customWidth="1" min="6" max="6" width="23.75"/>
  </cols>
  <sheetData>
    <row r="1">
      <c r="A1" s="52" t="s">
        <v>69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70</v>
      </c>
      <c r="C4" s="55">
        <v>45689.0</v>
      </c>
      <c r="D4" s="22">
        <v>173.21</v>
      </c>
      <c r="E4" s="56"/>
      <c r="F4" s="28"/>
    </row>
    <row r="5">
      <c r="A5" s="30" t="s">
        <v>21</v>
      </c>
      <c r="B5" s="31"/>
      <c r="C5" s="32"/>
      <c r="D5" s="24">
        <f>round(D4*(1+5.26%),2)</f>
        <v>182.32</v>
      </c>
      <c r="E5" s="57"/>
      <c r="F5" s="28"/>
    </row>
    <row r="6">
      <c r="A6" s="30" t="s">
        <v>24</v>
      </c>
      <c r="B6" s="31"/>
      <c r="C6" s="32"/>
      <c r="D6" s="24">
        <f>round(D5*10%,2)</f>
        <v>18.23</v>
      </c>
      <c r="E6" s="57"/>
      <c r="F6" s="28"/>
    </row>
    <row r="7">
      <c r="A7" s="33" t="s">
        <v>9</v>
      </c>
      <c r="B7" s="31"/>
      <c r="C7" s="32"/>
      <c r="D7" s="39">
        <f>D5-D6</f>
        <v>164.09</v>
      </c>
      <c r="E7" s="90">
        <v>25735.0</v>
      </c>
      <c r="F7" s="41">
        <f>round(D7*E7,0)</f>
        <v>4222856</v>
      </c>
    </row>
    <row r="8">
      <c r="A8" s="33" t="s">
        <v>26</v>
      </c>
      <c r="B8" s="31"/>
      <c r="C8" s="32"/>
      <c r="D8" s="39"/>
      <c r="E8" s="90"/>
      <c r="F8" s="41">
        <f>round(F7*10%,0)</f>
        <v>422286</v>
      </c>
    </row>
    <row r="9">
      <c r="A9" s="33" t="s">
        <v>16</v>
      </c>
      <c r="B9" s="31"/>
      <c r="C9" s="32"/>
      <c r="D9" s="39"/>
      <c r="E9" s="90"/>
      <c r="F9" s="41">
        <f>F7+F8</f>
        <v>4645142</v>
      </c>
    </row>
    <row r="13">
      <c r="A13" s="52" t="s">
        <v>69</v>
      </c>
    </row>
    <row r="14">
      <c r="A14" s="53"/>
      <c r="B14" s="53"/>
      <c r="C14" s="53"/>
      <c r="D14" s="53"/>
      <c r="E14" s="53"/>
      <c r="F14" s="53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>
      <c r="A16" s="13">
        <v>1.0</v>
      </c>
      <c r="B16" s="54" t="s">
        <v>70</v>
      </c>
      <c r="C16" s="55">
        <v>45717.0</v>
      </c>
      <c r="D16" s="22">
        <v>173.21</v>
      </c>
      <c r="E16" s="56"/>
      <c r="F16" s="28"/>
    </row>
    <row r="17">
      <c r="A17" s="30" t="s">
        <v>21</v>
      </c>
      <c r="B17" s="31"/>
      <c r="C17" s="32"/>
      <c r="D17" s="24">
        <f>round(D16*(1+5.26%),2)</f>
        <v>182.32</v>
      </c>
      <c r="E17" s="57"/>
      <c r="F17" s="28"/>
    </row>
    <row r="18">
      <c r="A18" s="30" t="s">
        <v>24</v>
      </c>
      <c r="B18" s="31"/>
      <c r="C18" s="32"/>
      <c r="D18" s="24">
        <f>round(D17*10%,2)</f>
        <v>18.23</v>
      </c>
      <c r="E18" s="57"/>
      <c r="F18" s="28"/>
    </row>
    <row r="19">
      <c r="A19" s="33" t="s">
        <v>9</v>
      </c>
      <c r="B19" s="31"/>
      <c r="C19" s="32"/>
      <c r="D19" s="39">
        <f>D17-D18</f>
        <v>164.09</v>
      </c>
      <c r="E19" s="90">
        <v>25775.0</v>
      </c>
      <c r="F19" s="41">
        <f>round(D19*E19,0)</f>
        <v>4229420</v>
      </c>
    </row>
    <row r="20">
      <c r="A20" s="33" t="s">
        <v>26</v>
      </c>
      <c r="B20" s="31"/>
      <c r="C20" s="32"/>
      <c r="D20" s="39"/>
      <c r="E20" s="90"/>
      <c r="F20" s="41">
        <f>round(F19*10%,0)</f>
        <v>422942</v>
      </c>
    </row>
    <row r="21">
      <c r="A21" s="33" t="s">
        <v>16</v>
      </c>
      <c r="B21" s="31"/>
      <c r="C21" s="32"/>
      <c r="D21" s="39"/>
      <c r="E21" s="90"/>
      <c r="F21" s="41">
        <f>F19+F20</f>
        <v>4652362</v>
      </c>
    </row>
    <row r="25">
      <c r="A25" s="52" t="s">
        <v>69</v>
      </c>
    </row>
    <row r="26">
      <c r="A26" s="53"/>
      <c r="B26" s="53"/>
      <c r="C26" s="53"/>
      <c r="D26" s="53"/>
      <c r="E26" s="53"/>
      <c r="F26" s="53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</row>
    <row r="28">
      <c r="A28" s="13">
        <v>1.0</v>
      </c>
      <c r="B28" s="54" t="s">
        <v>70</v>
      </c>
      <c r="C28" s="55">
        <v>45748.0</v>
      </c>
      <c r="D28" s="22">
        <v>173.21</v>
      </c>
      <c r="E28" s="56"/>
      <c r="F28" s="28"/>
    </row>
    <row r="29">
      <c r="A29" s="30" t="s">
        <v>21</v>
      </c>
      <c r="B29" s="31"/>
      <c r="C29" s="32"/>
      <c r="D29" s="24">
        <f>round(D28*(1+5.26%),2)</f>
        <v>182.32</v>
      </c>
      <c r="E29" s="57"/>
      <c r="F29" s="28"/>
    </row>
    <row r="30">
      <c r="A30" s="30" t="s">
        <v>24</v>
      </c>
      <c r="B30" s="31"/>
      <c r="C30" s="32"/>
      <c r="D30" s="24">
        <f>round(D29*10%,2)</f>
        <v>18.23</v>
      </c>
      <c r="E30" s="57"/>
      <c r="F30" s="28"/>
    </row>
    <row r="31">
      <c r="A31" s="33" t="s">
        <v>9</v>
      </c>
      <c r="B31" s="31"/>
      <c r="C31" s="32"/>
      <c r="D31" s="39">
        <f>D29-D30</f>
        <v>164.09</v>
      </c>
      <c r="E31" s="90">
        <v>26190.0</v>
      </c>
      <c r="F31" s="41">
        <f>round(D31*E31,0)</f>
        <v>4297517</v>
      </c>
    </row>
    <row r="32">
      <c r="A32" s="33" t="s">
        <v>26</v>
      </c>
      <c r="B32" s="31"/>
      <c r="C32" s="32"/>
      <c r="D32" s="39"/>
      <c r="E32" s="90"/>
      <c r="F32" s="41">
        <f>round(F31*10%,0)</f>
        <v>429752</v>
      </c>
    </row>
    <row r="33">
      <c r="A33" s="33" t="s">
        <v>16</v>
      </c>
      <c r="B33" s="31"/>
      <c r="C33" s="32"/>
      <c r="D33" s="39"/>
      <c r="E33" s="90"/>
      <c r="F33" s="41">
        <f>F31+F32</f>
        <v>4727269</v>
      </c>
    </row>
    <row r="37">
      <c r="A37" s="52" t="s">
        <v>69</v>
      </c>
    </row>
    <row r="38">
      <c r="A38" s="53"/>
      <c r="B38" s="53"/>
      <c r="C38" s="53"/>
      <c r="D38" s="53"/>
      <c r="E38" s="53"/>
      <c r="F38" s="53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</row>
    <row r="40">
      <c r="A40" s="13">
        <v>1.0</v>
      </c>
      <c r="B40" s="54" t="s">
        <v>70</v>
      </c>
      <c r="C40" s="55">
        <v>45778.0</v>
      </c>
      <c r="D40" s="22">
        <v>173.21</v>
      </c>
      <c r="E40" s="56"/>
      <c r="F40" s="28"/>
    </row>
    <row r="41">
      <c r="A41" s="30" t="s">
        <v>21</v>
      </c>
      <c r="B41" s="31"/>
      <c r="C41" s="32"/>
      <c r="D41" s="24">
        <f>round(D40*(1+5.26%),2)</f>
        <v>182.32</v>
      </c>
      <c r="E41" s="57"/>
      <c r="F41" s="28"/>
    </row>
    <row r="42">
      <c r="A42" s="30" t="s">
        <v>24</v>
      </c>
      <c r="B42" s="31"/>
      <c r="C42" s="32"/>
      <c r="D42" s="24">
        <f>round(D41*10%,2)</f>
        <v>18.23</v>
      </c>
      <c r="E42" s="57"/>
      <c r="F42" s="28"/>
    </row>
    <row r="43">
      <c r="A43" s="33" t="s">
        <v>9</v>
      </c>
      <c r="B43" s="31"/>
      <c r="C43" s="32"/>
      <c r="D43" s="39">
        <f>D41-D42</f>
        <v>164.09</v>
      </c>
      <c r="E43" s="90">
        <v>26225.0</v>
      </c>
      <c r="F43" s="41">
        <f>round(D43*E43,0)</f>
        <v>4303260</v>
      </c>
    </row>
    <row r="44">
      <c r="A44" s="33" t="s">
        <v>26</v>
      </c>
      <c r="B44" s="31"/>
      <c r="C44" s="32"/>
      <c r="D44" s="39"/>
      <c r="E44" s="90"/>
      <c r="F44" s="41">
        <f>round(F43*10%,0)</f>
        <v>430326</v>
      </c>
    </row>
    <row r="45">
      <c r="A45" s="33" t="s">
        <v>16</v>
      </c>
      <c r="B45" s="31"/>
      <c r="C45" s="32"/>
      <c r="D45" s="39"/>
      <c r="E45" s="90"/>
      <c r="F45" s="41">
        <f>F43+F44</f>
        <v>4733586</v>
      </c>
    </row>
    <row r="49">
      <c r="A49" s="52" t="s">
        <v>69</v>
      </c>
    </row>
    <row r="50">
      <c r="A50" s="53"/>
      <c r="B50" s="53"/>
      <c r="C50" s="53"/>
      <c r="D50" s="53"/>
      <c r="E50" s="53"/>
      <c r="F50" s="53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</row>
    <row r="52">
      <c r="A52" s="13">
        <v>1.0</v>
      </c>
      <c r="B52" s="54" t="s">
        <v>70</v>
      </c>
      <c r="C52" s="55">
        <v>45809.0</v>
      </c>
      <c r="D52" s="22">
        <v>173.21</v>
      </c>
      <c r="E52" s="56"/>
      <c r="F52" s="28"/>
    </row>
    <row r="53">
      <c r="A53" s="30" t="s">
        <v>21</v>
      </c>
      <c r="B53" s="31"/>
      <c r="C53" s="32"/>
      <c r="D53" s="24">
        <f>round(D52*(1+5.26%),2)</f>
        <v>182.32</v>
      </c>
      <c r="E53" s="57"/>
      <c r="F53" s="28"/>
    </row>
    <row r="54">
      <c r="A54" s="30" t="s">
        <v>24</v>
      </c>
      <c r="B54" s="31"/>
      <c r="C54" s="32"/>
      <c r="D54" s="24">
        <f>round(D53*10%,2)</f>
        <v>18.23</v>
      </c>
      <c r="E54" s="57"/>
      <c r="F54" s="28"/>
    </row>
    <row r="55">
      <c r="A55" s="33" t="s">
        <v>9</v>
      </c>
      <c r="B55" s="31"/>
      <c r="C55" s="32"/>
      <c r="D55" s="39">
        <f>D53-D54</f>
        <v>164.09</v>
      </c>
      <c r="E55" s="90">
        <v>26300.0</v>
      </c>
      <c r="F55" s="41">
        <f>round(D55*E55,0)</f>
        <v>4315567</v>
      </c>
    </row>
    <row r="56">
      <c r="A56" s="33" t="s">
        <v>26</v>
      </c>
      <c r="B56" s="31"/>
      <c r="C56" s="32"/>
      <c r="D56" s="39"/>
      <c r="E56" s="90"/>
      <c r="F56" s="41">
        <f>round(F55*10%,0)</f>
        <v>431557</v>
      </c>
    </row>
    <row r="57">
      <c r="A57" s="33" t="s">
        <v>16</v>
      </c>
      <c r="B57" s="31"/>
      <c r="C57" s="32"/>
      <c r="D57" s="39"/>
      <c r="E57" s="90"/>
      <c r="F57" s="41">
        <f>F55+F56</f>
        <v>4747124</v>
      </c>
    </row>
    <row r="61">
      <c r="A61" s="52" t="s">
        <v>69</v>
      </c>
    </row>
    <row r="62">
      <c r="A62" s="53"/>
      <c r="B62" s="53"/>
      <c r="C62" s="53"/>
      <c r="D62" s="53"/>
      <c r="E62" s="53"/>
      <c r="F62" s="53"/>
    </row>
    <row r="63">
      <c r="A63" s="9" t="s">
        <v>4</v>
      </c>
      <c r="B63" s="9" t="s">
        <v>5</v>
      </c>
      <c r="C63" s="9" t="s">
        <v>6</v>
      </c>
      <c r="D63" s="9" t="s">
        <v>7</v>
      </c>
      <c r="E63" s="9" t="s">
        <v>8</v>
      </c>
      <c r="F63" s="9" t="s">
        <v>9</v>
      </c>
    </row>
    <row r="64">
      <c r="A64" s="13">
        <v>1.0</v>
      </c>
      <c r="B64" s="54" t="s">
        <v>70</v>
      </c>
      <c r="C64" s="55">
        <v>45839.0</v>
      </c>
      <c r="D64" s="22">
        <v>173.21</v>
      </c>
      <c r="E64" s="56"/>
      <c r="F64" s="28"/>
    </row>
    <row r="65">
      <c r="A65" s="30" t="s">
        <v>32</v>
      </c>
      <c r="B65" s="31"/>
      <c r="C65" s="32"/>
      <c r="D65" s="24">
        <f>round(D64*(1+10%),2)</f>
        <v>190.53</v>
      </c>
      <c r="E65" s="57"/>
      <c r="F65" s="28"/>
    </row>
    <row r="66">
      <c r="A66" s="30" t="s">
        <v>24</v>
      </c>
      <c r="B66" s="31"/>
      <c r="C66" s="32"/>
      <c r="D66" s="24">
        <f>round(D65*10%,2)</f>
        <v>19.05</v>
      </c>
      <c r="E66" s="57"/>
      <c r="F66" s="28"/>
    </row>
    <row r="67">
      <c r="A67" s="33" t="s">
        <v>9</v>
      </c>
      <c r="B67" s="31"/>
      <c r="C67" s="32"/>
      <c r="D67" s="39">
        <f>D65-D66</f>
        <v>171.48</v>
      </c>
      <c r="E67" s="90">
        <v>26382.0</v>
      </c>
      <c r="F67" s="41">
        <f>round(D67*E67,0)</f>
        <v>4523985</v>
      </c>
    </row>
    <row r="68">
      <c r="A68" s="33" t="s">
        <v>26</v>
      </c>
      <c r="B68" s="31"/>
      <c r="C68" s="32"/>
      <c r="D68" s="39"/>
      <c r="E68" s="90"/>
      <c r="F68" s="41">
        <f>round(F67*10%,0)</f>
        <v>452399</v>
      </c>
    </row>
    <row r="69">
      <c r="A69" s="33" t="s">
        <v>16</v>
      </c>
      <c r="B69" s="31"/>
      <c r="C69" s="32"/>
      <c r="D69" s="39"/>
      <c r="E69" s="90"/>
      <c r="F69" s="41">
        <f>F67+F68</f>
        <v>4976384</v>
      </c>
    </row>
    <row r="74">
      <c r="A74" s="52" t="s">
        <v>69</v>
      </c>
    </row>
    <row r="75">
      <c r="A75" s="53"/>
      <c r="B75" s="53"/>
      <c r="C75" s="53"/>
      <c r="D75" s="53"/>
      <c r="E75" s="53"/>
      <c r="F75" s="53"/>
    </row>
    <row r="76">
      <c r="A76" s="9" t="s">
        <v>4</v>
      </c>
      <c r="B76" s="9" t="s">
        <v>5</v>
      </c>
      <c r="C76" s="9" t="s">
        <v>6</v>
      </c>
      <c r="D76" s="9" t="s">
        <v>7</v>
      </c>
      <c r="E76" s="9" t="s">
        <v>8</v>
      </c>
      <c r="F76" s="9" t="s">
        <v>9</v>
      </c>
    </row>
    <row r="77">
      <c r="A77" s="13">
        <v>1.0</v>
      </c>
      <c r="B77" s="54" t="s">
        <v>70</v>
      </c>
      <c r="C77" s="55">
        <v>45870.0</v>
      </c>
      <c r="D77" s="22">
        <v>173.21</v>
      </c>
      <c r="E77" s="56"/>
      <c r="F77" s="28"/>
    </row>
    <row r="78">
      <c r="A78" s="30" t="s">
        <v>32</v>
      </c>
      <c r="B78" s="31"/>
      <c r="C78" s="32"/>
      <c r="D78" s="24">
        <f>round(D77*(1+10%),2)</f>
        <v>190.53</v>
      </c>
      <c r="E78" s="57"/>
      <c r="F78" s="28"/>
    </row>
    <row r="79">
      <c r="A79" s="30" t="s">
        <v>24</v>
      </c>
      <c r="B79" s="31"/>
      <c r="C79" s="32"/>
      <c r="D79" s="24">
        <f>round(D78*10%,2)</f>
        <v>19.05</v>
      </c>
      <c r="E79" s="57"/>
      <c r="F79" s="28"/>
    </row>
    <row r="80">
      <c r="A80" s="33" t="s">
        <v>9</v>
      </c>
      <c r="B80" s="31"/>
      <c r="C80" s="32"/>
      <c r="D80" s="39">
        <f>D78-D79</f>
        <v>171.48</v>
      </c>
      <c r="E80" s="90">
        <v>26502.0</v>
      </c>
      <c r="F80" s="41">
        <f>round(D80*E80,0)</f>
        <v>4544563</v>
      </c>
    </row>
    <row r="81">
      <c r="A81" s="33" t="s">
        <v>26</v>
      </c>
      <c r="B81" s="31"/>
      <c r="C81" s="32"/>
      <c r="D81" s="39"/>
      <c r="E81" s="90"/>
      <c r="F81" s="41">
        <f>round(F80*10%,0)</f>
        <v>454456</v>
      </c>
    </row>
    <row r="82">
      <c r="A82" s="33" t="s">
        <v>16</v>
      </c>
      <c r="B82" s="31"/>
      <c r="C82" s="32"/>
      <c r="D82" s="39"/>
      <c r="E82" s="90"/>
      <c r="F82" s="41">
        <f>F80+F81</f>
        <v>4999019</v>
      </c>
    </row>
    <row r="87">
      <c r="A87" s="52" t="s">
        <v>69</v>
      </c>
    </row>
    <row r="88">
      <c r="A88" s="53"/>
      <c r="B88" s="53"/>
      <c r="C88" s="53"/>
      <c r="D88" s="53"/>
      <c r="E88" s="53"/>
      <c r="F88" s="53"/>
    </row>
    <row r="89">
      <c r="A89" s="9" t="s">
        <v>4</v>
      </c>
      <c r="B89" s="9" t="s">
        <v>5</v>
      </c>
      <c r="C89" s="9" t="s">
        <v>6</v>
      </c>
      <c r="D89" s="9" t="s">
        <v>7</v>
      </c>
      <c r="E89" s="9" t="s">
        <v>8</v>
      </c>
      <c r="F89" s="9" t="s">
        <v>9</v>
      </c>
    </row>
    <row r="90">
      <c r="A90" s="13">
        <v>1.0</v>
      </c>
      <c r="B90" s="54" t="s">
        <v>70</v>
      </c>
      <c r="C90" s="55">
        <v>45901.0</v>
      </c>
      <c r="D90" s="22">
        <v>234.24</v>
      </c>
      <c r="E90" s="56"/>
      <c r="F90" s="28"/>
    </row>
    <row r="91">
      <c r="A91" s="30" t="s">
        <v>32</v>
      </c>
      <c r="B91" s="31"/>
      <c r="C91" s="32"/>
      <c r="D91" s="24">
        <f>round(D90*(1+10%),2)</f>
        <v>257.66</v>
      </c>
      <c r="E91" s="57"/>
      <c r="F91" s="28"/>
    </row>
    <row r="92">
      <c r="A92" s="30" t="s">
        <v>24</v>
      </c>
      <c r="B92" s="31"/>
      <c r="C92" s="32"/>
      <c r="D92" s="24">
        <f>round(D91*10%,2)</f>
        <v>25.77</v>
      </c>
      <c r="E92" s="57"/>
      <c r="F92" s="28"/>
    </row>
    <row r="93">
      <c r="A93" s="33" t="s">
        <v>9</v>
      </c>
      <c r="B93" s="31"/>
      <c r="C93" s="32"/>
      <c r="D93" s="39">
        <f>D91-D92</f>
        <v>231.89</v>
      </c>
      <c r="E93" s="90">
        <v>26446.0</v>
      </c>
      <c r="F93" s="41">
        <f>round(D93*E93,0)</f>
        <v>6132563</v>
      </c>
    </row>
    <row r="94">
      <c r="A94" s="33" t="s">
        <v>26</v>
      </c>
      <c r="B94" s="31"/>
      <c r="C94" s="32"/>
      <c r="D94" s="39"/>
      <c r="E94" s="90"/>
      <c r="F94" s="41">
        <f>round(F93*10%,0)</f>
        <v>613256</v>
      </c>
    </row>
    <row r="95">
      <c r="A95" s="33" t="s">
        <v>16</v>
      </c>
      <c r="B95" s="31"/>
      <c r="C95" s="32"/>
      <c r="D95" s="39"/>
      <c r="E95" s="90"/>
      <c r="F95" s="41">
        <f>F93+F94</f>
        <v>6745819</v>
      </c>
    </row>
    <row r="101">
      <c r="A101" s="52" t="s">
        <v>69</v>
      </c>
    </row>
    <row r="102">
      <c r="A102" s="53"/>
      <c r="B102" s="53"/>
      <c r="C102" s="53"/>
      <c r="D102" s="53"/>
      <c r="E102" s="53"/>
      <c r="F102" s="53"/>
    </row>
    <row r="103">
      <c r="A103" s="9" t="s">
        <v>4</v>
      </c>
      <c r="B103" s="9" t="s">
        <v>5</v>
      </c>
      <c r="C103" s="9" t="s">
        <v>6</v>
      </c>
      <c r="D103" s="9" t="s">
        <v>7</v>
      </c>
      <c r="E103" s="9" t="s">
        <v>8</v>
      </c>
      <c r="F103" s="9" t="s">
        <v>9</v>
      </c>
    </row>
    <row r="104">
      <c r="A104" s="13">
        <v>1.0</v>
      </c>
      <c r="B104" s="54" t="s">
        <v>70</v>
      </c>
      <c r="C104" s="55">
        <v>45931.0</v>
      </c>
      <c r="D104" s="22">
        <v>287.42</v>
      </c>
      <c r="E104" s="56"/>
      <c r="F104" s="28"/>
    </row>
    <row r="105">
      <c r="A105" s="30" t="s">
        <v>32</v>
      </c>
      <c r="B105" s="31"/>
      <c r="C105" s="32"/>
      <c r="D105" s="24">
        <f>round(D104*(1+10%),2)</f>
        <v>316.16</v>
      </c>
      <c r="E105" s="57"/>
      <c r="F105" s="28"/>
    </row>
    <row r="106">
      <c r="A106" s="30" t="s">
        <v>24</v>
      </c>
      <c r="B106" s="31"/>
      <c r="C106" s="32"/>
      <c r="D106" s="24">
        <f>round(D105*10%,2)</f>
        <v>31.62</v>
      </c>
      <c r="E106" s="57"/>
      <c r="F106" s="28"/>
    </row>
    <row r="107">
      <c r="A107" s="33" t="s">
        <v>9</v>
      </c>
      <c r="B107" s="31"/>
      <c r="C107" s="32"/>
      <c r="D107" s="39">
        <f>D105-D106</f>
        <v>284.54</v>
      </c>
      <c r="E107" s="90">
        <v>26347.0</v>
      </c>
      <c r="F107" s="41">
        <f>round(D107*E107,0)</f>
        <v>7496775</v>
      </c>
    </row>
    <row r="108">
      <c r="A108" s="33" t="s">
        <v>26</v>
      </c>
      <c r="B108" s="31"/>
      <c r="C108" s="32"/>
      <c r="D108" s="39"/>
      <c r="E108" s="90"/>
      <c r="F108" s="41">
        <f>round(F107*10%,0)</f>
        <v>749678</v>
      </c>
    </row>
    <row r="109">
      <c r="A109" s="33" t="s">
        <v>16</v>
      </c>
      <c r="B109" s="31"/>
      <c r="C109" s="32"/>
      <c r="D109" s="39"/>
      <c r="E109" s="90"/>
      <c r="F109" s="41">
        <f>F107+F108</f>
        <v>8246453</v>
      </c>
    </row>
    <row r="114">
      <c r="A114" s="52" t="s">
        <v>69</v>
      </c>
    </row>
    <row r="115">
      <c r="A115" s="53"/>
      <c r="B115" s="53"/>
      <c r="C115" s="53"/>
      <c r="D115" s="53"/>
      <c r="E115" s="53"/>
      <c r="F115" s="53"/>
    </row>
    <row r="116">
      <c r="A116" s="9" t="s">
        <v>4</v>
      </c>
      <c r="B116" s="9" t="s">
        <v>5</v>
      </c>
      <c r="C116" s="9" t="s">
        <v>6</v>
      </c>
      <c r="D116" s="9" t="s">
        <v>7</v>
      </c>
      <c r="E116" s="9" t="s">
        <v>8</v>
      </c>
      <c r="F116" s="9" t="s">
        <v>9</v>
      </c>
    </row>
    <row r="117">
      <c r="A117" s="13">
        <v>1.0</v>
      </c>
      <c r="B117" s="54" t="s">
        <v>70</v>
      </c>
      <c r="C117" s="55">
        <v>45962.0</v>
      </c>
      <c r="D117" s="22">
        <v>284.77</v>
      </c>
      <c r="E117" s="56"/>
      <c r="F117" s="28"/>
    </row>
    <row r="118">
      <c r="A118" s="30" t="s">
        <v>32</v>
      </c>
      <c r="B118" s="31"/>
      <c r="C118" s="32"/>
      <c r="D118" s="24">
        <f>round(D117*(1+10%),2)</f>
        <v>313.25</v>
      </c>
      <c r="E118" s="57"/>
      <c r="F118" s="28"/>
    </row>
    <row r="119">
      <c r="A119" s="30" t="s">
        <v>24</v>
      </c>
      <c r="B119" s="31"/>
      <c r="C119" s="32"/>
      <c r="D119" s="24">
        <f>round(D118*10%,2)</f>
        <v>31.33</v>
      </c>
      <c r="E119" s="57"/>
      <c r="F119" s="28"/>
    </row>
    <row r="120">
      <c r="A120" s="33" t="s">
        <v>9</v>
      </c>
      <c r="B120" s="31"/>
      <c r="C120" s="32"/>
      <c r="D120" s="39">
        <f>D118-D119</f>
        <v>281.92</v>
      </c>
      <c r="E120" s="90">
        <v>26412.0</v>
      </c>
      <c r="F120" s="41">
        <f>round(D120*E120,0)</f>
        <v>7446071</v>
      </c>
    </row>
    <row r="121">
      <c r="A121" s="33" t="s">
        <v>26</v>
      </c>
      <c r="B121" s="31"/>
      <c r="C121" s="32"/>
      <c r="D121" s="39"/>
      <c r="E121" s="90"/>
      <c r="F121" s="41">
        <f>round(F120*10%,0)</f>
        <v>744607</v>
      </c>
    </row>
    <row r="122">
      <c r="A122" s="33" t="s">
        <v>16</v>
      </c>
      <c r="B122" s="31"/>
      <c r="C122" s="32"/>
      <c r="D122" s="39"/>
      <c r="E122" s="90"/>
      <c r="F122" s="41">
        <f>F120+F121</f>
        <v>8190678</v>
      </c>
    </row>
    <row r="128">
      <c r="A128" s="52" t="s">
        <v>69</v>
      </c>
    </row>
    <row r="129">
      <c r="A129" s="53"/>
      <c r="B129" s="53"/>
      <c r="C129" s="53"/>
      <c r="D129" s="53"/>
      <c r="E129" s="53"/>
      <c r="F129" s="53"/>
    </row>
    <row r="130">
      <c r="A130" s="9" t="s">
        <v>4</v>
      </c>
      <c r="B130" s="9" t="s">
        <v>5</v>
      </c>
      <c r="C130" s="9" t="s">
        <v>6</v>
      </c>
      <c r="D130" s="9" t="s">
        <v>7</v>
      </c>
      <c r="E130" s="9" t="s">
        <v>8</v>
      </c>
      <c r="F130" s="9" t="s">
        <v>9</v>
      </c>
    </row>
    <row r="131">
      <c r="A131" s="13">
        <v>1.0</v>
      </c>
      <c r="B131" s="54" t="s">
        <v>70</v>
      </c>
      <c r="C131" s="55">
        <v>45992.0</v>
      </c>
      <c r="D131" s="22">
        <v>282.41</v>
      </c>
      <c r="E131" s="56"/>
      <c r="F131" s="28"/>
    </row>
    <row r="132">
      <c r="A132" s="30" t="s">
        <v>32</v>
      </c>
      <c r="B132" s="31"/>
      <c r="C132" s="32"/>
      <c r="D132" s="24">
        <f>round(D131*(1+10%),2)</f>
        <v>310.65</v>
      </c>
      <c r="E132" s="57"/>
      <c r="F132" s="28"/>
    </row>
    <row r="133">
      <c r="A133" s="30" t="s">
        <v>24</v>
      </c>
      <c r="B133" s="31"/>
      <c r="C133" s="32"/>
      <c r="D133" s="24">
        <f>round(D132*10%,2)</f>
        <v>31.07</v>
      </c>
      <c r="E133" s="57"/>
      <c r="F133" s="28"/>
    </row>
    <row r="134">
      <c r="A134" s="33" t="s">
        <v>9</v>
      </c>
      <c r="B134" s="31"/>
      <c r="C134" s="32"/>
      <c r="D134" s="39">
        <f>D132-D133</f>
        <v>279.58</v>
      </c>
      <c r="E134" s="90">
        <v>26377.0</v>
      </c>
      <c r="F134" s="41">
        <f>round(D134*E134,0)</f>
        <v>7374482</v>
      </c>
    </row>
    <row r="135">
      <c r="A135" s="33" t="s">
        <v>26</v>
      </c>
      <c r="B135" s="31"/>
      <c r="C135" s="32"/>
      <c r="D135" s="39"/>
      <c r="E135" s="90"/>
      <c r="F135" s="41">
        <f>round(F134*10%,0)</f>
        <v>737448</v>
      </c>
    </row>
    <row r="136">
      <c r="A136" s="33" t="s">
        <v>16</v>
      </c>
      <c r="B136" s="31"/>
      <c r="C136" s="32"/>
      <c r="D136" s="39"/>
      <c r="E136" s="90"/>
      <c r="F136" s="41">
        <f>F134+F135</f>
        <v>8111930</v>
      </c>
    </row>
    <row r="142">
      <c r="A142" s="52" t="s">
        <v>69</v>
      </c>
    </row>
    <row r="143">
      <c r="A143" s="53"/>
      <c r="B143" s="53"/>
      <c r="C143" s="53"/>
      <c r="D143" s="53"/>
      <c r="E143" s="53"/>
      <c r="F143" s="53"/>
    </row>
    <row r="144">
      <c r="A144" s="9" t="s">
        <v>4</v>
      </c>
      <c r="B144" s="9" t="s">
        <v>5</v>
      </c>
      <c r="C144" s="9" t="s">
        <v>6</v>
      </c>
      <c r="D144" s="9" t="s">
        <v>7</v>
      </c>
      <c r="E144" s="9" t="s">
        <v>8</v>
      </c>
      <c r="F144" s="9" t="s">
        <v>9</v>
      </c>
    </row>
    <row r="145">
      <c r="A145" s="13">
        <v>1.0</v>
      </c>
      <c r="B145" s="54" t="s">
        <v>70</v>
      </c>
      <c r="C145" s="55">
        <v>46023.0</v>
      </c>
      <c r="D145" s="22">
        <v>282.41</v>
      </c>
      <c r="E145" s="56"/>
      <c r="F145" s="28"/>
    </row>
    <row r="146">
      <c r="A146" s="30" t="s">
        <v>32</v>
      </c>
      <c r="B146" s="31"/>
      <c r="C146" s="32"/>
      <c r="D146" s="24">
        <f>round(D145*(1+10%),2)</f>
        <v>310.65</v>
      </c>
      <c r="E146" s="57"/>
      <c r="F146" s="28"/>
    </row>
    <row r="147">
      <c r="A147" s="30" t="s">
        <v>24</v>
      </c>
      <c r="B147" s="31"/>
      <c r="C147" s="32"/>
      <c r="D147" s="24">
        <f>round(D146*10%,2)</f>
        <v>31.07</v>
      </c>
      <c r="E147" s="57"/>
      <c r="F147" s="28"/>
    </row>
    <row r="148">
      <c r="A148" s="33" t="s">
        <v>9</v>
      </c>
      <c r="B148" s="31"/>
      <c r="C148" s="32"/>
      <c r="D148" s="39">
        <f>D146-D147</f>
        <v>279.58</v>
      </c>
      <c r="E148" s="90">
        <v>26145.0</v>
      </c>
      <c r="F148" s="41">
        <f>round(D148*E148,0)</f>
        <v>7309619</v>
      </c>
    </row>
    <row r="149">
      <c r="A149" s="33" t="s">
        <v>26</v>
      </c>
      <c r="B149" s="31"/>
      <c r="C149" s="32"/>
      <c r="D149" s="39"/>
      <c r="E149" s="90"/>
      <c r="F149" s="41">
        <f>round(F148*10%,0)</f>
        <v>730962</v>
      </c>
    </row>
    <row r="150">
      <c r="A150" s="33" t="s">
        <v>16</v>
      </c>
      <c r="B150" s="31"/>
      <c r="C150" s="32"/>
      <c r="D150" s="39"/>
      <c r="E150" s="90"/>
      <c r="F150" s="41">
        <f>F148+F149</f>
        <v>8040581</v>
      </c>
    </row>
    <row r="156">
      <c r="A156" s="52" t="s">
        <v>69</v>
      </c>
    </row>
    <row r="157">
      <c r="A157" s="53"/>
      <c r="B157" s="53"/>
      <c r="C157" s="53"/>
      <c r="D157" s="53"/>
      <c r="E157" s="53"/>
      <c r="F157" s="53"/>
    </row>
    <row r="158">
      <c r="A158" s="9" t="s">
        <v>4</v>
      </c>
      <c r="B158" s="9" t="s">
        <v>5</v>
      </c>
      <c r="C158" s="9" t="s">
        <v>6</v>
      </c>
      <c r="D158" s="9" t="s">
        <v>7</v>
      </c>
      <c r="E158" s="9" t="s">
        <v>8</v>
      </c>
      <c r="F158" s="9" t="s">
        <v>9</v>
      </c>
    </row>
    <row r="159">
      <c r="A159" s="13">
        <v>1.0</v>
      </c>
      <c r="B159" s="54" t="s">
        <v>70</v>
      </c>
      <c r="C159" s="55">
        <v>46054.0</v>
      </c>
      <c r="D159" s="22">
        <v>282.41</v>
      </c>
      <c r="E159" s="56"/>
      <c r="F159" s="28"/>
    </row>
    <row r="160">
      <c r="A160" s="30" t="s">
        <v>32</v>
      </c>
      <c r="B160" s="31"/>
      <c r="C160" s="32"/>
      <c r="D160" s="24">
        <f>round(D159*(1+10%),2)</f>
        <v>310.65</v>
      </c>
      <c r="E160" s="57"/>
      <c r="F160" s="28"/>
    </row>
    <row r="161">
      <c r="A161" s="30" t="s">
        <v>24</v>
      </c>
      <c r="B161" s="31"/>
      <c r="C161" s="32"/>
      <c r="D161" s="24">
        <f>round(D160*10%,2)</f>
        <v>31.07</v>
      </c>
      <c r="E161" s="57"/>
      <c r="F161" s="28"/>
    </row>
    <row r="162">
      <c r="A162" s="33" t="s">
        <v>9</v>
      </c>
      <c r="B162" s="31"/>
      <c r="C162" s="32"/>
      <c r="D162" s="39">
        <f>D160-D161</f>
        <v>279.58</v>
      </c>
      <c r="E162" s="90">
        <v>26240.0</v>
      </c>
      <c r="F162" s="41">
        <f>round(D162*E162,0)</f>
        <v>7336179</v>
      </c>
    </row>
    <row r="163">
      <c r="A163" s="33" t="s">
        <v>26</v>
      </c>
      <c r="B163" s="31"/>
      <c r="C163" s="32"/>
      <c r="D163" s="39"/>
      <c r="E163" s="90"/>
      <c r="F163" s="41">
        <f>round(F162*10%,0)</f>
        <v>733618</v>
      </c>
    </row>
    <row r="164">
      <c r="A164" s="33" t="s">
        <v>16</v>
      </c>
      <c r="B164" s="31"/>
      <c r="C164" s="32"/>
      <c r="D164" s="39"/>
      <c r="E164" s="90"/>
      <c r="F164" s="41">
        <f>F162+F163</f>
        <v>8069797</v>
      </c>
    </row>
    <row r="170">
      <c r="A170" s="52" t="s">
        <v>69</v>
      </c>
    </row>
    <row r="171">
      <c r="A171" s="53"/>
      <c r="B171" s="53"/>
      <c r="C171" s="53"/>
      <c r="D171" s="53"/>
      <c r="E171" s="53"/>
      <c r="F171" s="53"/>
    </row>
    <row r="172">
      <c r="A172" s="9" t="s">
        <v>4</v>
      </c>
      <c r="B172" s="9" t="s">
        <v>5</v>
      </c>
      <c r="C172" s="9" t="s">
        <v>6</v>
      </c>
      <c r="D172" s="9" t="s">
        <v>7</v>
      </c>
      <c r="E172" s="9" t="s">
        <v>8</v>
      </c>
      <c r="F172" s="9" t="s">
        <v>9</v>
      </c>
    </row>
    <row r="173">
      <c r="A173" s="13">
        <v>1.0</v>
      </c>
      <c r="B173" s="54" t="s">
        <v>70</v>
      </c>
      <c r="C173" s="55">
        <v>46082.0</v>
      </c>
      <c r="D173" s="22">
        <v>297.3</v>
      </c>
      <c r="E173" s="56"/>
      <c r="F173" s="28"/>
    </row>
    <row r="174">
      <c r="A174" s="30" t="s">
        <v>32</v>
      </c>
      <c r="B174" s="31"/>
      <c r="C174" s="32"/>
      <c r="D174" s="24">
        <f>round(D173*(1+10%),2)</f>
        <v>327.03</v>
      </c>
      <c r="E174" s="57"/>
      <c r="F174" s="28"/>
    </row>
    <row r="175">
      <c r="A175" s="30" t="s">
        <v>24</v>
      </c>
      <c r="B175" s="31"/>
      <c r="C175" s="32"/>
      <c r="D175" s="24">
        <f>round(D174*10%,2)</f>
        <v>32.7</v>
      </c>
      <c r="E175" s="57"/>
      <c r="F175" s="28"/>
    </row>
    <row r="176">
      <c r="A176" s="33" t="s">
        <v>9</v>
      </c>
      <c r="B176" s="31"/>
      <c r="C176" s="32"/>
      <c r="D176" s="39">
        <f>D174-D175</f>
        <v>294.33</v>
      </c>
      <c r="E176" s="90">
        <v>26357.0</v>
      </c>
      <c r="F176" s="41">
        <f>round(D176*E176,0)</f>
        <v>7757656</v>
      </c>
    </row>
    <row r="177">
      <c r="A177" s="33" t="s">
        <v>26</v>
      </c>
      <c r="B177" s="31"/>
      <c r="C177" s="32"/>
      <c r="D177" s="39"/>
      <c r="E177" s="90"/>
      <c r="F177" s="41">
        <f>round(F176*10%,0)</f>
        <v>775766</v>
      </c>
    </row>
    <row r="178">
      <c r="A178" s="33" t="s">
        <v>16</v>
      </c>
      <c r="B178" s="31"/>
      <c r="C178" s="32"/>
      <c r="D178" s="39"/>
      <c r="E178" s="90"/>
      <c r="F178" s="41">
        <f>F176+F177</f>
        <v>8533422</v>
      </c>
    </row>
    <row r="184">
      <c r="A184" s="52" t="s">
        <v>69</v>
      </c>
    </row>
    <row r="185">
      <c r="A185" s="53"/>
      <c r="B185" s="53"/>
      <c r="C185" s="53"/>
      <c r="D185" s="53"/>
      <c r="E185" s="53"/>
      <c r="F185" s="53"/>
    </row>
    <row r="186">
      <c r="A186" s="9" t="s">
        <v>4</v>
      </c>
      <c r="B186" s="9" t="s">
        <v>5</v>
      </c>
      <c r="C186" s="9" t="s">
        <v>6</v>
      </c>
      <c r="D186" s="9" t="s">
        <v>7</v>
      </c>
      <c r="E186" s="9" t="s">
        <v>8</v>
      </c>
      <c r="F186" s="9" t="s">
        <v>9</v>
      </c>
    </row>
    <row r="187">
      <c r="A187" s="13">
        <v>1.0</v>
      </c>
      <c r="B187" s="54" t="s">
        <v>70</v>
      </c>
      <c r="C187" s="55">
        <v>46113.0</v>
      </c>
      <c r="D187" s="22">
        <v>332.81</v>
      </c>
      <c r="E187" s="56"/>
      <c r="F187" s="28"/>
    </row>
    <row r="188">
      <c r="A188" s="30" t="s">
        <v>32</v>
      </c>
      <c r="B188" s="31"/>
      <c r="C188" s="32"/>
      <c r="D188" s="24">
        <f>round(D187*(1+10%),2)</f>
        <v>366.09</v>
      </c>
      <c r="E188" s="57"/>
      <c r="F188" s="28"/>
    </row>
    <row r="189">
      <c r="A189" s="30" t="s">
        <v>24</v>
      </c>
      <c r="B189" s="31"/>
      <c r="C189" s="32"/>
      <c r="D189" s="24">
        <f>round(D188*10%,2)</f>
        <v>36.61</v>
      </c>
      <c r="E189" s="57"/>
      <c r="F189" s="28"/>
    </row>
    <row r="190">
      <c r="A190" s="33" t="s">
        <v>9</v>
      </c>
      <c r="B190" s="31"/>
      <c r="C190" s="32"/>
      <c r="D190" s="39">
        <f>D188-D189</f>
        <v>329.48</v>
      </c>
      <c r="E190" s="90">
        <v>26368.0</v>
      </c>
      <c r="F190" s="41">
        <f>round(D190*E190,0)</f>
        <v>8687729</v>
      </c>
    </row>
    <row r="191">
      <c r="A191" s="33" t="s">
        <v>26</v>
      </c>
      <c r="B191" s="31"/>
      <c r="C191" s="32"/>
      <c r="D191" s="39"/>
      <c r="E191" s="90"/>
      <c r="F191" s="41">
        <f>round(F190*10%,0)</f>
        <v>868773</v>
      </c>
    </row>
    <row r="192">
      <c r="A192" s="33" t="s">
        <v>16</v>
      </c>
      <c r="B192" s="31"/>
      <c r="C192" s="32"/>
      <c r="D192" s="39"/>
      <c r="E192" s="90"/>
      <c r="F192" s="41">
        <f>F190+F191</f>
        <v>9556502</v>
      </c>
    </row>
    <row r="198">
      <c r="A198" s="52" t="s">
        <v>69</v>
      </c>
    </row>
    <row r="199">
      <c r="A199" s="53"/>
      <c r="B199" s="53"/>
      <c r="C199" s="53"/>
      <c r="D199" s="53"/>
      <c r="E199" s="53"/>
      <c r="F199" s="53"/>
    </row>
    <row r="200">
      <c r="A200" s="9" t="s">
        <v>4</v>
      </c>
      <c r="B200" s="9" t="s">
        <v>5</v>
      </c>
      <c r="C200" s="9" t="s">
        <v>6</v>
      </c>
      <c r="D200" s="9" t="s">
        <v>7</v>
      </c>
      <c r="E200" s="9" t="s">
        <v>8</v>
      </c>
      <c r="F200" s="9" t="s">
        <v>9</v>
      </c>
    </row>
    <row r="201">
      <c r="A201" s="13">
        <v>1.0</v>
      </c>
      <c r="B201" s="54" t="s">
        <v>70</v>
      </c>
      <c r="C201" s="55">
        <v>46143.0</v>
      </c>
      <c r="D201" s="22">
        <v>308.91</v>
      </c>
      <c r="E201" s="56"/>
      <c r="F201" s="28"/>
    </row>
    <row r="202">
      <c r="A202" s="30" t="s">
        <v>32</v>
      </c>
      <c r="B202" s="31"/>
      <c r="C202" s="32"/>
      <c r="D202" s="24">
        <f>round(D201*(1+10%),2)</f>
        <v>339.8</v>
      </c>
      <c r="E202" s="57"/>
      <c r="F202" s="28"/>
    </row>
    <row r="203">
      <c r="A203" s="30" t="s">
        <v>24</v>
      </c>
      <c r="B203" s="31"/>
      <c r="C203" s="32"/>
      <c r="D203" s="24">
        <f>round(D202*10%,2)</f>
        <v>33.98</v>
      </c>
      <c r="E203" s="57"/>
      <c r="F203" s="28"/>
    </row>
    <row r="204">
      <c r="A204" s="33" t="s">
        <v>9</v>
      </c>
      <c r="B204" s="31"/>
      <c r="C204" s="32"/>
      <c r="D204" s="39">
        <f>D202-D203</f>
        <v>305.82</v>
      </c>
      <c r="E204" s="90">
        <v>26395.0</v>
      </c>
      <c r="F204" s="41">
        <f>round(D204*E204,0)</f>
        <v>8072119</v>
      </c>
    </row>
    <row r="205">
      <c r="A205" s="33" t="s">
        <v>26</v>
      </c>
      <c r="B205" s="31"/>
      <c r="C205" s="32"/>
      <c r="D205" s="39"/>
      <c r="E205" s="90"/>
      <c r="F205" s="41">
        <f>round(F204*10%,0)</f>
        <v>807212</v>
      </c>
    </row>
    <row r="206">
      <c r="A206" s="33" t="s">
        <v>16</v>
      </c>
      <c r="B206" s="31"/>
      <c r="C206" s="32"/>
      <c r="D206" s="39"/>
      <c r="E206" s="90"/>
      <c r="F206" s="41">
        <f>F204+F205</f>
        <v>8879331</v>
      </c>
    </row>
    <row r="212">
      <c r="A212" s="52" t="s">
        <v>69</v>
      </c>
    </row>
    <row r="213">
      <c r="A213" s="53"/>
      <c r="B213" s="53"/>
      <c r="C213" s="53"/>
      <c r="D213" s="53"/>
      <c r="E213" s="53"/>
      <c r="F213" s="53"/>
    </row>
    <row r="214">
      <c r="A214" s="9" t="s">
        <v>4</v>
      </c>
      <c r="B214" s="9" t="s">
        <v>5</v>
      </c>
      <c r="C214" s="9" t="s">
        <v>6</v>
      </c>
      <c r="D214" s="9" t="s">
        <v>7</v>
      </c>
      <c r="E214" s="9" t="s">
        <v>8</v>
      </c>
      <c r="F214" s="9" t="s">
        <v>9</v>
      </c>
    </row>
    <row r="215">
      <c r="A215" s="13">
        <v>1.0</v>
      </c>
      <c r="B215" s="54" t="s">
        <v>70</v>
      </c>
      <c r="C215" s="55">
        <v>46174.0</v>
      </c>
      <c r="D215" s="22">
        <v>298.64</v>
      </c>
      <c r="E215" s="56"/>
      <c r="F215" s="28"/>
    </row>
    <row r="216">
      <c r="A216" s="30" t="s">
        <v>32</v>
      </c>
      <c r="B216" s="31"/>
      <c r="C216" s="32"/>
      <c r="D216" s="24">
        <f>round(D215*(1+10%),2)</f>
        <v>328.5</v>
      </c>
      <c r="E216" s="57"/>
      <c r="F216" s="28"/>
    </row>
    <row r="217">
      <c r="A217" s="30" t="s">
        <v>24</v>
      </c>
      <c r="B217" s="31"/>
      <c r="C217" s="32"/>
      <c r="D217" s="24">
        <f>round(D216*10%,2)</f>
        <v>32.85</v>
      </c>
      <c r="E217" s="57"/>
      <c r="F217" s="28"/>
    </row>
    <row r="218">
      <c r="A218" s="33" t="s">
        <v>9</v>
      </c>
      <c r="B218" s="31"/>
      <c r="C218" s="32"/>
      <c r="D218" s="39">
        <f>D216-D217</f>
        <v>295.65</v>
      </c>
      <c r="E218" s="90">
        <v>26466.0</v>
      </c>
      <c r="F218" s="41">
        <f>round(D218*E218,0)</f>
        <v>7824673</v>
      </c>
    </row>
    <row r="219">
      <c r="A219" s="33" t="s">
        <v>26</v>
      </c>
      <c r="B219" s="31"/>
      <c r="C219" s="32"/>
      <c r="D219" s="39"/>
      <c r="E219" s="90"/>
      <c r="F219" s="41">
        <f>round(F218*10%,0)</f>
        <v>782467</v>
      </c>
    </row>
    <row r="220">
      <c r="A220" s="33" t="s">
        <v>16</v>
      </c>
      <c r="B220" s="31"/>
      <c r="C220" s="32"/>
      <c r="D220" s="39"/>
      <c r="E220" s="90"/>
      <c r="F220" s="41">
        <f>F218+F219</f>
        <v>8607140</v>
      </c>
    </row>
    <row r="227">
      <c r="A227" s="52" t="s">
        <v>69</v>
      </c>
    </row>
    <row r="228">
      <c r="A228" s="53"/>
      <c r="B228" s="53"/>
      <c r="C228" s="53"/>
      <c r="D228" s="53"/>
      <c r="E228" s="53"/>
      <c r="F228" s="53"/>
    </row>
    <row r="229">
      <c r="A229" s="9" t="s">
        <v>4</v>
      </c>
      <c r="B229" s="9" t="s">
        <v>5</v>
      </c>
      <c r="C229" s="9" t="s">
        <v>6</v>
      </c>
      <c r="D229" s="9" t="s">
        <v>7</v>
      </c>
      <c r="E229" s="9" t="s">
        <v>8</v>
      </c>
      <c r="F229" s="9" t="s">
        <v>9</v>
      </c>
    </row>
    <row r="230">
      <c r="A230" s="13">
        <v>1.0</v>
      </c>
      <c r="B230" s="54" t="s">
        <v>70</v>
      </c>
      <c r="C230" s="55">
        <v>46204.0</v>
      </c>
      <c r="D230" s="22">
        <v>332.47</v>
      </c>
      <c r="E230" s="56"/>
      <c r="F230" s="28"/>
    </row>
    <row r="231">
      <c r="A231" s="30" t="s">
        <v>32</v>
      </c>
      <c r="B231" s="31"/>
      <c r="C231" s="32"/>
      <c r="D231" s="24">
        <f>round(D230*(1+10%),2)</f>
        <v>365.72</v>
      </c>
      <c r="E231" s="57"/>
      <c r="F231" s="28"/>
    </row>
    <row r="232">
      <c r="A232" s="30" t="s">
        <v>24</v>
      </c>
      <c r="B232" s="31"/>
      <c r="C232" s="32"/>
      <c r="D232" s="24">
        <f>round(D231*10%,2)</f>
        <v>36.57</v>
      </c>
      <c r="E232" s="57"/>
      <c r="F232" s="28"/>
    </row>
    <row r="233">
      <c r="A233" s="33" t="s">
        <v>9</v>
      </c>
      <c r="B233" s="31"/>
      <c r="C233" s="32"/>
      <c r="D233" s="39">
        <f>D231-D232</f>
        <v>329.15</v>
      </c>
      <c r="E233" s="90">
        <v>26475.0</v>
      </c>
      <c r="F233" s="41">
        <f>round(D233*E233,0)</f>
        <v>8714246</v>
      </c>
    </row>
    <row r="234">
      <c r="A234" s="33" t="s">
        <v>26</v>
      </c>
      <c r="B234" s="31"/>
      <c r="C234" s="32"/>
      <c r="D234" s="39"/>
      <c r="E234" s="90"/>
      <c r="F234" s="41">
        <f>round(F233*10%,0)</f>
        <v>871425</v>
      </c>
    </row>
    <row r="235">
      <c r="A235" s="33" t="s">
        <v>16</v>
      </c>
      <c r="B235" s="31"/>
      <c r="C235" s="32"/>
      <c r="D235" s="39"/>
      <c r="E235" s="90"/>
      <c r="F235" s="41">
        <f>F233+F234</f>
        <v>9585671</v>
      </c>
    </row>
  </sheetData>
  <mergeCells count="108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49:F49"/>
    <mergeCell ref="A53:C53"/>
    <mergeCell ref="A54:C54"/>
    <mergeCell ref="A55:C55"/>
    <mergeCell ref="A56:C56"/>
    <mergeCell ref="A57:C57"/>
    <mergeCell ref="A61:F61"/>
    <mergeCell ref="A65:C65"/>
    <mergeCell ref="A66:C66"/>
    <mergeCell ref="A67:C67"/>
    <mergeCell ref="A68:C68"/>
    <mergeCell ref="A69:C69"/>
    <mergeCell ref="A74:F74"/>
    <mergeCell ref="A78:C78"/>
    <mergeCell ref="A79:C79"/>
    <mergeCell ref="A80:C80"/>
    <mergeCell ref="A81:C81"/>
    <mergeCell ref="A82:C82"/>
    <mergeCell ref="A87:F87"/>
    <mergeCell ref="A91:C91"/>
    <mergeCell ref="A92:C92"/>
    <mergeCell ref="A93:C93"/>
    <mergeCell ref="A94:C94"/>
    <mergeCell ref="A95:C95"/>
    <mergeCell ref="A101:F101"/>
    <mergeCell ref="A202:C202"/>
    <mergeCell ref="A203:C203"/>
    <mergeCell ref="A204:C204"/>
    <mergeCell ref="A205:C205"/>
    <mergeCell ref="A206:C206"/>
    <mergeCell ref="A212:F212"/>
    <mergeCell ref="A216:C216"/>
    <mergeCell ref="A217:C217"/>
    <mergeCell ref="A218:C218"/>
    <mergeCell ref="A219:C219"/>
    <mergeCell ref="A220:C220"/>
    <mergeCell ref="A227:F227"/>
    <mergeCell ref="A231:C231"/>
    <mergeCell ref="A232:C232"/>
    <mergeCell ref="A105:C105"/>
    <mergeCell ref="A106:C106"/>
    <mergeCell ref="A107:C107"/>
    <mergeCell ref="A108:C108"/>
    <mergeCell ref="A109:C109"/>
    <mergeCell ref="A114:F114"/>
    <mergeCell ref="A118:C118"/>
    <mergeCell ref="A119:C119"/>
    <mergeCell ref="A120:C120"/>
    <mergeCell ref="A121:C121"/>
    <mergeCell ref="A122:C122"/>
    <mergeCell ref="A128:F128"/>
    <mergeCell ref="A132:C132"/>
    <mergeCell ref="A133:C133"/>
    <mergeCell ref="A134:C134"/>
    <mergeCell ref="A135:C135"/>
    <mergeCell ref="A136:C136"/>
    <mergeCell ref="A142:F142"/>
    <mergeCell ref="A146:C146"/>
    <mergeCell ref="A147:C147"/>
    <mergeCell ref="A148:C148"/>
    <mergeCell ref="A149:C149"/>
    <mergeCell ref="A150:C150"/>
    <mergeCell ref="A156:F156"/>
    <mergeCell ref="A160:C160"/>
    <mergeCell ref="A161:C161"/>
    <mergeCell ref="A162:C162"/>
    <mergeCell ref="A163:C163"/>
    <mergeCell ref="A164:C164"/>
    <mergeCell ref="A170:F170"/>
    <mergeCell ref="A174:C174"/>
    <mergeCell ref="A175:C175"/>
    <mergeCell ref="A176:C176"/>
    <mergeCell ref="A177:C177"/>
    <mergeCell ref="A178:C178"/>
    <mergeCell ref="A184:F184"/>
    <mergeCell ref="A188:C188"/>
    <mergeCell ref="A189:C189"/>
    <mergeCell ref="A190:C190"/>
    <mergeCell ref="A191:C191"/>
    <mergeCell ref="A192:C192"/>
    <mergeCell ref="A198:F198"/>
    <mergeCell ref="A233:C233"/>
    <mergeCell ref="A234:C234"/>
    <mergeCell ref="A235:C23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75"/>
    <col customWidth="1" min="2" max="2" width="51.88"/>
    <col customWidth="1" min="3" max="3" width="29.0"/>
    <col customWidth="1" min="4" max="4" width="21.38"/>
    <col customWidth="1" min="6" max="6" width="21.75"/>
  </cols>
  <sheetData>
    <row r="1">
      <c r="A1" s="52" t="s">
        <v>71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72</v>
      </c>
      <c r="C4" s="55">
        <v>45689.0</v>
      </c>
      <c r="D4" s="22">
        <v>10662.59</v>
      </c>
      <c r="E4" s="56"/>
      <c r="F4" s="28"/>
    </row>
    <row r="5">
      <c r="A5" s="30" t="s">
        <v>21</v>
      </c>
      <c r="B5" s="31"/>
      <c r="C5" s="32"/>
      <c r="D5" s="24">
        <f>round(D4*(1+5.26%),2)</f>
        <v>11223.44</v>
      </c>
      <c r="E5" s="57"/>
      <c r="F5" s="28"/>
    </row>
    <row r="6">
      <c r="A6" s="30" t="s">
        <v>24</v>
      </c>
      <c r="B6" s="31"/>
      <c r="C6" s="32"/>
      <c r="D6" s="24">
        <f>round(D5*10%,2)</f>
        <v>1122.34</v>
      </c>
      <c r="E6" s="57"/>
      <c r="F6" s="28"/>
    </row>
    <row r="7">
      <c r="A7" s="33" t="s">
        <v>9</v>
      </c>
      <c r="B7" s="31"/>
      <c r="C7" s="32"/>
      <c r="D7" s="39">
        <f>D5-D6</f>
        <v>10101.1</v>
      </c>
      <c r="E7" s="90">
        <v>25735.0</v>
      </c>
      <c r="F7" s="41">
        <f>round(D7*E7,0)</f>
        <v>259951809</v>
      </c>
    </row>
    <row r="8">
      <c r="A8" s="33" t="s">
        <v>26</v>
      </c>
      <c r="B8" s="31"/>
      <c r="C8" s="32"/>
      <c r="D8" s="39"/>
      <c r="E8" s="90"/>
      <c r="F8" s="41">
        <f>round(F7*10%,0)</f>
        <v>25995181</v>
      </c>
    </row>
    <row r="9">
      <c r="A9" s="33" t="s">
        <v>16</v>
      </c>
      <c r="B9" s="31"/>
      <c r="C9" s="32"/>
      <c r="D9" s="39"/>
      <c r="E9" s="90"/>
      <c r="F9" s="41">
        <f>F7+F8</f>
        <v>285946990</v>
      </c>
    </row>
    <row r="13">
      <c r="A13" s="52" t="s">
        <v>71</v>
      </c>
    </row>
    <row r="14">
      <c r="A14" s="53"/>
      <c r="B14" s="53"/>
      <c r="C14" s="53"/>
      <c r="D14" s="53"/>
      <c r="E14" s="53"/>
      <c r="F14" s="53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>
      <c r="A16" s="13">
        <v>1.0</v>
      </c>
      <c r="B16" s="54" t="s">
        <v>72</v>
      </c>
      <c r="C16" s="55">
        <v>45717.0</v>
      </c>
      <c r="D16" s="22">
        <v>11122.24</v>
      </c>
      <c r="E16" s="56"/>
      <c r="F16" s="28"/>
    </row>
    <row r="17">
      <c r="A17" s="30" t="s">
        <v>21</v>
      </c>
      <c r="B17" s="31"/>
      <c r="C17" s="32"/>
      <c r="D17" s="24">
        <f>round(D16*(1+5.26%),2)</f>
        <v>11707.27</v>
      </c>
      <c r="E17" s="57"/>
      <c r="F17" s="28"/>
    </row>
    <row r="18">
      <c r="A18" s="30" t="s">
        <v>24</v>
      </c>
      <c r="B18" s="31"/>
      <c r="C18" s="32"/>
      <c r="D18" s="24">
        <f>round(D17*10%,2)</f>
        <v>1170.73</v>
      </c>
      <c r="E18" s="57"/>
      <c r="F18" s="28"/>
    </row>
    <row r="19">
      <c r="A19" s="33" t="s">
        <v>9</v>
      </c>
      <c r="B19" s="31"/>
      <c r="C19" s="32"/>
      <c r="D19" s="39">
        <f>D17-D18</f>
        <v>10536.54</v>
      </c>
      <c r="E19" s="90">
        <v>25775.0</v>
      </c>
      <c r="F19" s="41">
        <f>round(D19*E19,0)</f>
        <v>271579319</v>
      </c>
    </row>
    <row r="20">
      <c r="A20" s="33" t="s">
        <v>26</v>
      </c>
      <c r="B20" s="31"/>
      <c r="C20" s="32"/>
      <c r="D20" s="39"/>
      <c r="E20" s="90"/>
      <c r="F20" s="41">
        <f>round(F19*10%,0)</f>
        <v>27157932</v>
      </c>
    </row>
    <row r="21">
      <c r="A21" s="33" t="s">
        <v>16</v>
      </c>
      <c r="B21" s="31"/>
      <c r="C21" s="32"/>
      <c r="D21" s="39"/>
      <c r="E21" s="90"/>
      <c r="F21" s="41">
        <f>F19+F20</f>
        <v>298737251</v>
      </c>
    </row>
    <row r="25">
      <c r="A25" s="52" t="s">
        <v>71</v>
      </c>
    </row>
    <row r="26">
      <c r="A26" s="53"/>
      <c r="B26" s="53"/>
      <c r="C26" s="53"/>
      <c r="D26" s="53"/>
      <c r="E26" s="53"/>
      <c r="F26" s="53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</row>
    <row r="28">
      <c r="A28" s="13">
        <v>1.0</v>
      </c>
      <c r="B28" s="54" t="s">
        <v>72</v>
      </c>
      <c r="C28" s="55">
        <v>45748.0</v>
      </c>
      <c r="D28" s="22">
        <v>11296.96</v>
      </c>
      <c r="E28" s="56"/>
      <c r="F28" s="28"/>
    </row>
    <row r="29">
      <c r="A29" s="30" t="s">
        <v>21</v>
      </c>
      <c r="B29" s="31"/>
      <c r="C29" s="32"/>
      <c r="D29" s="24">
        <f>round(D28*(1+5.26%),2)</f>
        <v>11891.18</v>
      </c>
      <c r="E29" s="57"/>
      <c r="F29" s="28"/>
    </row>
    <row r="30">
      <c r="A30" s="30" t="s">
        <v>24</v>
      </c>
      <c r="B30" s="31"/>
      <c r="C30" s="32"/>
      <c r="D30" s="24">
        <f>round(D29*10%,2)</f>
        <v>1189.12</v>
      </c>
      <c r="E30" s="57"/>
      <c r="F30" s="28"/>
    </row>
    <row r="31">
      <c r="A31" s="33" t="s">
        <v>9</v>
      </c>
      <c r="B31" s="31"/>
      <c r="C31" s="32"/>
      <c r="D31" s="39">
        <f>D29-D30</f>
        <v>10702.06</v>
      </c>
      <c r="E31" s="90">
        <v>26190.0</v>
      </c>
      <c r="F31" s="41">
        <f>round(D31*E31,0)</f>
        <v>280286951</v>
      </c>
    </row>
    <row r="32">
      <c r="A32" s="33" t="s">
        <v>26</v>
      </c>
      <c r="B32" s="31"/>
      <c r="C32" s="32"/>
      <c r="D32" s="39"/>
      <c r="E32" s="90"/>
      <c r="F32" s="41">
        <f>round(F31*10%,0)</f>
        <v>28028695</v>
      </c>
    </row>
    <row r="33">
      <c r="A33" s="33" t="s">
        <v>16</v>
      </c>
      <c r="B33" s="31"/>
      <c r="C33" s="32"/>
      <c r="D33" s="39"/>
      <c r="E33" s="90"/>
      <c r="F33" s="41">
        <f>F31+F32</f>
        <v>308315646</v>
      </c>
    </row>
    <row r="37">
      <c r="A37" s="52" t="s">
        <v>71</v>
      </c>
    </row>
    <row r="38">
      <c r="A38" s="53"/>
      <c r="B38" s="53"/>
      <c r="C38" s="53"/>
      <c r="D38" s="53"/>
      <c r="E38" s="53"/>
      <c r="F38" s="53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</row>
    <row r="40">
      <c r="A40" s="13">
        <v>1.0</v>
      </c>
      <c r="B40" s="54" t="s">
        <v>72</v>
      </c>
      <c r="C40" s="55">
        <v>45778.0</v>
      </c>
      <c r="D40" s="22">
        <v>11409.05</v>
      </c>
      <c r="E40" s="56"/>
      <c r="F40" s="28"/>
    </row>
    <row r="41">
      <c r="A41" s="30" t="s">
        <v>21</v>
      </c>
      <c r="B41" s="31"/>
      <c r="C41" s="32"/>
      <c r="D41" s="24">
        <f>round(D40*(1+5.26%),2)</f>
        <v>12009.17</v>
      </c>
      <c r="E41" s="57"/>
      <c r="F41" s="28"/>
    </row>
    <row r="42">
      <c r="A42" s="30" t="s">
        <v>24</v>
      </c>
      <c r="B42" s="31"/>
      <c r="C42" s="32"/>
      <c r="D42" s="24">
        <f>round(D41*10%,2)</f>
        <v>1200.92</v>
      </c>
      <c r="E42" s="57"/>
      <c r="F42" s="28"/>
    </row>
    <row r="43">
      <c r="A43" s="33" t="s">
        <v>9</v>
      </c>
      <c r="B43" s="31"/>
      <c r="C43" s="32"/>
      <c r="D43" s="39">
        <f>D41-D42</f>
        <v>10808.25</v>
      </c>
      <c r="E43" s="90">
        <v>26225.0</v>
      </c>
      <c r="F43" s="41">
        <f>round(D43*E43,0)</f>
        <v>283446356</v>
      </c>
    </row>
    <row r="44">
      <c r="A44" s="33" t="s">
        <v>26</v>
      </c>
      <c r="B44" s="31"/>
      <c r="C44" s="32"/>
      <c r="D44" s="39"/>
      <c r="E44" s="90"/>
      <c r="F44" s="41">
        <f>round(F43*10%,0)</f>
        <v>28344636</v>
      </c>
    </row>
    <row r="45">
      <c r="A45" s="33" t="s">
        <v>16</v>
      </c>
      <c r="B45" s="31"/>
      <c r="C45" s="32"/>
      <c r="D45" s="39"/>
      <c r="E45" s="90"/>
      <c r="F45" s="41">
        <f>F43+F44</f>
        <v>311790992</v>
      </c>
    </row>
    <row r="49">
      <c r="A49" s="52" t="s">
        <v>71</v>
      </c>
    </row>
    <row r="50">
      <c r="A50" s="53"/>
      <c r="B50" s="53"/>
      <c r="C50" s="53"/>
      <c r="D50" s="53"/>
      <c r="E50" s="53"/>
      <c r="F50" s="53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</row>
    <row r="52">
      <c r="A52" s="13">
        <v>1.0</v>
      </c>
      <c r="B52" s="54" t="s">
        <v>72</v>
      </c>
      <c r="C52" s="55">
        <v>45809.0</v>
      </c>
      <c r="D52" s="22">
        <v>11540.51</v>
      </c>
      <c r="E52" s="56"/>
      <c r="F52" s="28"/>
    </row>
    <row r="53">
      <c r="A53" s="30" t="s">
        <v>21</v>
      </c>
      <c r="B53" s="31"/>
      <c r="C53" s="32"/>
      <c r="D53" s="24">
        <f>round(D52*(1+5.26%),2)</f>
        <v>12147.54</v>
      </c>
      <c r="E53" s="57"/>
      <c r="F53" s="28"/>
    </row>
    <row r="54">
      <c r="A54" s="30" t="s">
        <v>24</v>
      </c>
      <c r="B54" s="31"/>
      <c r="C54" s="32"/>
      <c r="D54" s="24">
        <f>round(D53*10%,2)</f>
        <v>1214.75</v>
      </c>
      <c r="E54" s="57"/>
      <c r="F54" s="28"/>
    </row>
    <row r="55">
      <c r="A55" s="33" t="s">
        <v>9</v>
      </c>
      <c r="B55" s="31"/>
      <c r="C55" s="32"/>
      <c r="D55" s="39">
        <f>D53-D54</f>
        <v>10932.79</v>
      </c>
      <c r="E55" s="90">
        <v>26300.0</v>
      </c>
      <c r="F55" s="41">
        <f>round(D55*E55,0)</f>
        <v>287532377</v>
      </c>
    </row>
    <row r="56">
      <c r="A56" s="33" t="s">
        <v>26</v>
      </c>
      <c r="B56" s="31"/>
      <c r="C56" s="32"/>
      <c r="D56" s="39"/>
      <c r="E56" s="90"/>
      <c r="F56" s="41">
        <f>round(F55*10%,0)</f>
        <v>28753238</v>
      </c>
    </row>
    <row r="57">
      <c r="A57" s="33" t="s">
        <v>16</v>
      </c>
      <c r="B57" s="31"/>
      <c r="C57" s="32"/>
      <c r="D57" s="39"/>
      <c r="E57" s="90"/>
      <c r="F57" s="41">
        <f>F55+F56</f>
        <v>316285615</v>
      </c>
    </row>
    <row r="61">
      <c r="A61" s="52" t="s">
        <v>71</v>
      </c>
    </row>
    <row r="62">
      <c r="A62" s="53"/>
      <c r="B62" s="53"/>
      <c r="C62" s="53"/>
      <c r="D62" s="53"/>
      <c r="E62" s="53"/>
      <c r="F62" s="53"/>
    </row>
    <row r="63">
      <c r="A63" s="9" t="s">
        <v>4</v>
      </c>
      <c r="B63" s="9" t="s">
        <v>5</v>
      </c>
      <c r="C63" s="9" t="s">
        <v>6</v>
      </c>
      <c r="D63" s="9" t="s">
        <v>7</v>
      </c>
      <c r="E63" s="9" t="s">
        <v>8</v>
      </c>
      <c r="F63" s="9" t="s">
        <v>9</v>
      </c>
    </row>
    <row r="64">
      <c r="A64" s="13">
        <v>1.0</v>
      </c>
      <c r="B64" s="54" t="s">
        <v>72</v>
      </c>
      <c r="C64" s="55">
        <v>45839.0</v>
      </c>
      <c r="D64" s="22">
        <v>11682.344</v>
      </c>
      <c r="E64" s="56"/>
      <c r="F64" s="28"/>
    </row>
    <row r="65">
      <c r="A65" s="30" t="s">
        <v>32</v>
      </c>
      <c r="B65" s="31"/>
      <c r="C65" s="32"/>
      <c r="D65" s="24">
        <f>round(D64*(1+10%),2)</f>
        <v>12850.58</v>
      </c>
      <c r="E65" s="57"/>
      <c r="F65" s="28"/>
    </row>
    <row r="66">
      <c r="A66" s="30" t="s">
        <v>24</v>
      </c>
      <c r="B66" s="31"/>
      <c r="C66" s="32"/>
      <c r="D66" s="24">
        <f>round(D65*10%,2)</f>
        <v>1285.06</v>
      </c>
      <c r="E66" s="57"/>
      <c r="F66" s="28"/>
    </row>
    <row r="67">
      <c r="A67" s="33" t="s">
        <v>9</v>
      </c>
      <c r="B67" s="31"/>
      <c r="C67" s="32"/>
      <c r="D67" s="39">
        <f>D65-D66</f>
        <v>11565.52</v>
      </c>
      <c r="E67" s="90">
        <v>26382.0</v>
      </c>
      <c r="F67" s="41">
        <f>round(D67*E67,0)</f>
        <v>305121549</v>
      </c>
    </row>
    <row r="68">
      <c r="A68" s="33" t="s">
        <v>26</v>
      </c>
      <c r="B68" s="31"/>
      <c r="C68" s="32"/>
      <c r="D68" s="39"/>
      <c r="E68" s="90"/>
      <c r="F68" s="41">
        <f>round(F67*10%,0)</f>
        <v>30512155</v>
      </c>
    </row>
    <row r="69">
      <c r="A69" s="33" t="s">
        <v>16</v>
      </c>
      <c r="B69" s="31"/>
      <c r="C69" s="32"/>
      <c r="D69" s="39"/>
      <c r="E69" s="90"/>
      <c r="F69" s="41">
        <f>F67+F68</f>
        <v>335633704</v>
      </c>
    </row>
    <row r="73">
      <c r="A73" s="52" t="s">
        <v>71</v>
      </c>
    </row>
    <row r="74">
      <c r="A74" s="53"/>
      <c r="B74" s="53"/>
      <c r="C74" s="53"/>
      <c r="D74" s="53"/>
      <c r="E74" s="53"/>
      <c r="F74" s="53"/>
    </row>
    <row r="75">
      <c r="A75" s="9" t="s">
        <v>4</v>
      </c>
      <c r="B75" s="9" t="s">
        <v>5</v>
      </c>
      <c r="C75" s="9" t="s">
        <v>6</v>
      </c>
      <c r="D75" s="9" t="s">
        <v>7</v>
      </c>
      <c r="E75" s="9" t="s">
        <v>8</v>
      </c>
      <c r="F75" s="9" t="s">
        <v>9</v>
      </c>
    </row>
    <row r="76">
      <c r="A76" s="13">
        <v>1.0</v>
      </c>
      <c r="B76" s="54" t="s">
        <v>72</v>
      </c>
      <c r="C76" s="55">
        <v>45870.0</v>
      </c>
      <c r="D76" s="22">
        <v>11818.61</v>
      </c>
      <c r="E76" s="56"/>
      <c r="F76" s="28"/>
    </row>
    <row r="77">
      <c r="A77" s="30" t="s">
        <v>32</v>
      </c>
      <c r="B77" s="31"/>
      <c r="C77" s="32"/>
      <c r="D77" s="24">
        <f>round(D76*(1+10%),2)</f>
        <v>13000.47</v>
      </c>
      <c r="E77" s="57"/>
      <c r="F77" s="28"/>
    </row>
    <row r="78">
      <c r="A78" s="30" t="s">
        <v>24</v>
      </c>
      <c r="B78" s="31"/>
      <c r="C78" s="32"/>
      <c r="D78" s="24">
        <f>round(D77*10%,2)</f>
        <v>1300.05</v>
      </c>
      <c r="E78" s="57"/>
      <c r="F78" s="28"/>
    </row>
    <row r="79">
      <c r="A79" s="33" t="s">
        <v>9</v>
      </c>
      <c r="B79" s="31"/>
      <c r="C79" s="32"/>
      <c r="D79" s="39">
        <f>D77-D78</f>
        <v>11700.42</v>
      </c>
      <c r="E79" s="90">
        <v>26502.0</v>
      </c>
      <c r="F79" s="41">
        <f>round(D79*E79,0)</f>
        <v>310084531</v>
      </c>
    </row>
    <row r="80">
      <c r="A80" s="33" t="s">
        <v>26</v>
      </c>
      <c r="B80" s="31"/>
      <c r="C80" s="32"/>
      <c r="D80" s="39"/>
      <c r="E80" s="90"/>
      <c r="F80" s="41">
        <f>round(F79*10%,0)</f>
        <v>31008453</v>
      </c>
    </row>
    <row r="81">
      <c r="A81" s="33" t="s">
        <v>16</v>
      </c>
      <c r="B81" s="31"/>
      <c r="C81" s="32"/>
      <c r="D81" s="39"/>
      <c r="E81" s="90"/>
      <c r="F81" s="41">
        <f>F79+F80</f>
        <v>341092984</v>
      </c>
    </row>
    <row r="86">
      <c r="A86" s="52" t="s">
        <v>71</v>
      </c>
    </row>
    <row r="87">
      <c r="A87" s="53"/>
      <c r="B87" s="53"/>
      <c r="C87" s="53"/>
      <c r="D87" s="53"/>
      <c r="E87" s="53"/>
      <c r="F87" s="53"/>
    </row>
    <row r="88">
      <c r="A88" s="9" t="s">
        <v>4</v>
      </c>
      <c r="B88" s="9" t="s">
        <v>5</v>
      </c>
      <c r="C88" s="9" t="s">
        <v>6</v>
      </c>
      <c r="D88" s="9" t="s">
        <v>7</v>
      </c>
      <c r="E88" s="9" t="s">
        <v>8</v>
      </c>
      <c r="F88" s="9" t="s">
        <v>9</v>
      </c>
    </row>
    <row r="89">
      <c r="A89" s="13">
        <v>1.0</v>
      </c>
      <c r="B89" s="54" t="s">
        <v>72</v>
      </c>
      <c r="C89" s="55">
        <v>45901.0</v>
      </c>
      <c r="D89" s="22">
        <v>12028.71</v>
      </c>
      <c r="E89" s="56"/>
      <c r="F89" s="28"/>
    </row>
    <row r="90">
      <c r="A90" s="30" t="s">
        <v>32</v>
      </c>
      <c r="B90" s="31"/>
      <c r="C90" s="32"/>
      <c r="D90" s="24">
        <f>round(D89*(1+10%),2)</f>
        <v>13231.58</v>
      </c>
      <c r="E90" s="57"/>
      <c r="F90" s="28"/>
    </row>
    <row r="91">
      <c r="A91" s="30" t="s">
        <v>24</v>
      </c>
      <c r="B91" s="31"/>
      <c r="C91" s="32"/>
      <c r="D91" s="24">
        <f>round(D90*10%,2)</f>
        <v>1323.16</v>
      </c>
      <c r="E91" s="57"/>
      <c r="F91" s="28"/>
    </row>
    <row r="92">
      <c r="A92" s="33" t="s">
        <v>9</v>
      </c>
      <c r="B92" s="31"/>
      <c r="C92" s="32"/>
      <c r="D92" s="39">
        <f>D90-D91</f>
        <v>11908.42</v>
      </c>
      <c r="E92" s="90">
        <v>26446.0</v>
      </c>
      <c r="F92" s="41">
        <f>round(D92*E92,0)</f>
        <v>314930075</v>
      </c>
    </row>
    <row r="93">
      <c r="A93" s="33" t="s">
        <v>26</v>
      </c>
      <c r="B93" s="31"/>
      <c r="C93" s="32"/>
      <c r="D93" s="39"/>
      <c r="E93" s="90"/>
      <c r="F93" s="41">
        <f>round(F92*10%,0)</f>
        <v>31493008</v>
      </c>
    </row>
    <row r="94">
      <c r="A94" s="33" t="s">
        <v>16</v>
      </c>
      <c r="B94" s="31"/>
      <c r="C94" s="32"/>
      <c r="D94" s="39"/>
      <c r="E94" s="90"/>
      <c r="F94" s="41">
        <f>F92+F93</f>
        <v>346423083</v>
      </c>
    </row>
    <row r="99">
      <c r="A99" s="52" t="s">
        <v>71</v>
      </c>
    </row>
    <row r="100">
      <c r="A100" s="53"/>
      <c r="B100" s="53"/>
      <c r="C100" s="53"/>
      <c r="D100" s="53"/>
      <c r="E100" s="53"/>
      <c r="F100" s="53"/>
    </row>
    <row r="101">
      <c r="A101" s="9" t="s">
        <v>4</v>
      </c>
      <c r="B101" s="9" t="s">
        <v>5</v>
      </c>
      <c r="C101" s="9" t="s">
        <v>6</v>
      </c>
      <c r="D101" s="9" t="s">
        <v>7</v>
      </c>
      <c r="E101" s="9" t="s">
        <v>8</v>
      </c>
      <c r="F101" s="9" t="s">
        <v>9</v>
      </c>
    </row>
    <row r="102">
      <c r="A102" s="13">
        <v>1.0</v>
      </c>
      <c r="B102" s="54" t="s">
        <v>72</v>
      </c>
      <c r="C102" s="55">
        <v>45931.0</v>
      </c>
      <c r="D102" s="22">
        <v>11721.74</v>
      </c>
      <c r="E102" s="56"/>
      <c r="F102" s="28"/>
    </row>
    <row r="103">
      <c r="A103" s="30" t="s">
        <v>32</v>
      </c>
      <c r="B103" s="31"/>
      <c r="C103" s="32"/>
      <c r="D103" s="24">
        <f>round(D102*(1+10%),2)</f>
        <v>12893.91</v>
      </c>
      <c r="E103" s="57"/>
      <c r="F103" s="28"/>
    </row>
    <row r="104">
      <c r="A104" s="30" t="s">
        <v>24</v>
      </c>
      <c r="B104" s="31"/>
      <c r="C104" s="32"/>
      <c r="D104" s="24">
        <f>round(D103*10%,2)</f>
        <v>1289.39</v>
      </c>
      <c r="E104" s="57"/>
      <c r="F104" s="28"/>
    </row>
    <row r="105">
      <c r="A105" s="33" t="s">
        <v>9</v>
      </c>
      <c r="B105" s="31"/>
      <c r="C105" s="32"/>
      <c r="D105" s="39">
        <f>D103-D104</f>
        <v>11604.52</v>
      </c>
      <c r="E105" s="90">
        <v>26347.0</v>
      </c>
      <c r="F105" s="41">
        <f>round(D105*E105,0)</f>
        <v>305744288</v>
      </c>
    </row>
    <row r="106">
      <c r="A106" s="33" t="s">
        <v>26</v>
      </c>
      <c r="B106" s="31"/>
      <c r="C106" s="32"/>
      <c r="D106" s="39"/>
      <c r="E106" s="90"/>
      <c r="F106" s="41">
        <f>round(F105*10%,0)</f>
        <v>30574429</v>
      </c>
    </row>
    <row r="107">
      <c r="A107" s="33" t="s">
        <v>16</v>
      </c>
      <c r="B107" s="31"/>
      <c r="C107" s="32"/>
      <c r="D107" s="39"/>
      <c r="E107" s="90"/>
      <c r="F107" s="41">
        <f>F105+F106</f>
        <v>336318717</v>
      </c>
    </row>
    <row r="112">
      <c r="A112" s="52" t="s">
        <v>71</v>
      </c>
    </row>
    <row r="113">
      <c r="A113" s="53"/>
      <c r="B113" s="53"/>
      <c r="C113" s="53"/>
      <c r="D113" s="53"/>
      <c r="E113" s="53"/>
      <c r="F113" s="53"/>
    </row>
    <row r="114">
      <c r="A114" s="9" t="s">
        <v>4</v>
      </c>
      <c r="B114" s="9" t="s">
        <v>5</v>
      </c>
      <c r="C114" s="9" t="s">
        <v>6</v>
      </c>
      <c r="D114" s="9" t="s">
        <v>7</v>
      </c>
      <c r="E114" s="9" t="s">
        <v>8</v>
      </c>
      <c r="F114" s="9" t="s">
        <v>9</v>
      </c>
    </row>
    <row r="115">
      <c r="A115" s="13">
        <v>1.0</v>
      </c>
      <c r="B115" s="54" t="s">
        <v>72</v>
      </c>
      <c r="C115" s="55">
        <v>45962.0</v>
      </c>
      <c r="D115" s="22">
        <v>11948.64</v>
      </c>
      <c r="E115" s="56"/>
      <c r="F115" s="28"/>
    </row>
    <row r="116">
      <c r="A116" s="30" t="s">
        <v>32</v>
      </c>
      <c r="B116" s="31"/>
      <c r="C116" s="32"/>
      <c r="D116" s="24">
        <f>round(D115*(1+10%),2)</f>
        <v>13143.5</v>
      </c>
      <c r="E116" s="57"/>
      <c r="F116" s="28"/>
    </row>
    <row r="117">
      <c r="A117" s="30" t="s">
        <v>24</v>
      </c>
      <c r="B117" s="31"/>
      <c r="C117" s="32"/>
      <c r="D117" s="24">
        <f>round(D116*10%,2)</f>
        <v>1314.35</v>
      </c>
      <c r="E117" s="57"/>
      <c r="F117" s="28"/>
    </row>
    <row r="118">
      <c r="A118" s="33" t="s">
        <v>9</v>
      </c>
      <c r="B118" s="31"/>
      <c r="C118" s="32"/>
      <c r="D118" s="39">
        <f>D116-D117</f>
        <v>11829.15</v>
      </c>
      <c r="E118" s="90">
        <v>26412.0</v>
      </c>
      <c r="F118" s="41">
        <f>round(D118*E118,0)</f>
        <v>312431510</v>
      </c>
    </row>
    <row r="119">
      <c r="A119" s="33" t="s">
        <v>26</v>
      </c>
      <c r="B119" s="31"/>
      <c r="C119" s="32"/>
      <c r="D119" s="39"/>
      <c r="E119" s="90"/>
      <c r="F119" s="41">
        <f>round(F118*10%,0)</f>
        <v>31243151</v>
      </c>
    </row>
    <row r="120">
      <c r="A120" s="33" t="s">
        <v>16</v>
      </c>
      <c r="B120" s="31"/>
      <c r="C120" s="32"/>
      <c r="D120" s="39"/>
      <c r="E120" s="90"/>
      <c r="F120" s="41">
        <f>F118+F119</f>
        <v>343674661</v>
      </c>
    </row>
    <row r="126">
      <c r="A126" s="52" t="s">
        <v>71</v>
      </c>
    </row>
    <row r="127">
      <c r="A127" s="53"/>
      <c r="B127" s="53"/>
      <c r="C127" s="53"/>
      <c r="D127" s="53"/>
      <c r="E127" s="53"/>
      <c r="F127" s="53"/>
    </row>
    <row r="128">
      <c r="A128" s="9" t="s">
        <v>4</v>
      </c>
      <c r="B128" s="9" t="s">
        <v>5</v>
      </c>
      <c r="C128" s="9" t="s">
        <v>6</v>
      </c>
      <c r="D128" s="9" t="s">
        <v>7</v>
      </c>
      <c r="E128" s="9" t="s">
        <v>8</v>
      </c>
      <c r="F128" s="9" t="s">
        <v>9</v>
      </c>
    </row>
    <row r="129">
      <c r="A129" s="13">
        <v>1.0</v>
      </c>
      <c r="B129" s="54" t="s">
        <v>72</v>
      </c>
      <c r="C129" s="55">
        <v>45992.0</v>
      </c>
      <c r="D129" s="22">
        <v>13300.04</v>
      </c>
      <c r="E129" s="56"/>
      <c r="F129" s="28"/>
    </row>
    <row r="130">
      <c r="A130" s="30" t="s">
        <v>32</v>
      </c>
      <c r="B130" s="31"/>
      <c r="C130" s="32"/>
      <c r="D130" s="24">
        <f>round(D129*(1+10%),2)</f>
        <v>14630.04</v>
      </c>
      <c r="E130" s="57"/>
      <c r="F130" s="28"/>
    </row>
    <row r="131">
      <c r="A131" s="30" t="s">
        <v>24</v>
      </c>
      <c r="B131" s="31"/>
      <c r="C131" s="32"/>
      <c r="D131" s="24">
        <f>round(D130*10%,2)</f>
        <v>1463</v>
      </c>
      <c r="E131" s="57"/>
      <c r="F131" s="28"/>
    </row>
    <row r="132">
      <c r="A132" s="33" t="s">
        <v>9</v>
      </c>
      <c r="B132" s="31"/>
      <c r="C132" s="32"/>
      <c r="D132" s="39">
        <f>D130-D131</f>
        <v>13167.04</v>
      </c>
      <c r="E132" s="90">
        <v>26377.0</v>
      </c>
      <c r="F132" s="41">
        <f>round(D132*E132,0)</f>
        <v>347307014</v>
      </c>
    </row>
    <row r="133">
      <c r="A133" s="33" t="s">
        <v>26</v>
      </c>
      <c r="B133" s="31"/>
      <c r="C133" s="32"/>
      <c r="D133" s="39"/>
      <c r="E133" s="90"/>
      <c r="F133" s="41">
        <f>round(F132*10%,0)</f>
        <v>34730701</v>
      </c>
    </row>
    <row r="134">
      <c r="A134" s="33" t="s">
        <v>16</v>
      </c>
      <c r="B134" s="31"/>
      <c r="C134" s="32"/>
      <c r="D134" s="39"/>
      <c r="E134" s="90"/>
      <c r="F134" s="41">
        <f>F132+F133</f>
        <v>382037715</v>
      </c>
    </row>
    <row r="140">
      <c r="A140" s="52" t="s">
        <v>71</v>
      </c>
    </row>
    <row r="141">
      <c r="A141" s="53"/>
      <c r="B141" s="53"/>
      <c r="C141" s="53"/>
      <c r="D141" s="53"/>
      <c r="E141" s="53"/>
      <c r="F141" s="53"/>
    </row>
    <row r="142">
      <c r="A142" s="9" t="s">
        <v>4</v>
      </c>
      <c r="B142" s="9" t="s">
        <v>5</v>
      </c>
      <c r="C142" s="9" t="s">
        <v>6</v>
      </c>
      <c r="D142" s="9" t="s">
        <v>7</v>
      </c>
      <c r="E142" s="9" t="s">
        <v>8</v>
      </c>
      <c r="F142" s="9" t="s">
        <v>9</v>
      </c>
    </row>
    <row r="143">
      <c r="A143" s="13">
        <v>1.0</v>
      </c>
      <c r="B143" s="54" t="s">
        <v>72</v>
      </c>
      <c r="C143" s="55">
        <v>46023.0</v>
      </c>
      <c r="D143" s="22">
        <v>14536.42</v>
      </c>
      <c r="E143" s="56"/>
      <c r="F143" s="28"/>
    </row>
    <row r="144">
      <c r="A144" s="30" t="s">
        <v>32</v>
      </c>
      <c r="B144" s="31"/>
      <c r="C144" s="32"/>
      <c r="D144" s="24">
        <f>round(D143*(1+10%),2)</f>
        <v>15990.06</v>
      </c>
      <c r="E144" s="57"/>
      <c r="F144" s="28"/>
    </row>
    <row r="145">
      <c r="A145" s="30" t="s">
        <v>24</v>
      </c>
      <c r="B145" s="31"/>
      <c r="C145" s="32"/>
      <c r="D145" s="24">
        <f>round(D144*10%,2)</f>
        <v>1599.01</v>
      </c>
      <c r="E145" s="57"/>
      <c r="F145" s="28"/>
    </row>
    <row r="146">
      <c r="A146" s="33" t="s">
        <v>9</v>
      </c>
      <c r="B146" s="31"/>
      <c r="C146" s="32"/>
      <c r="D146" s="39">
        <f>D144-D145</f>
        <v>14391.05</v>
      </c>
      <c r="E146" s="90">
        <v>26145.0</v>
      </c>
      <c r="F146" s="41">
        <f>round(D146*E146,0)</f>
        <v>376254002</v>
      </c>
    </row>
    <row r="147">
      <c r="A147" s="33" t="s">
        <v>26</v>
      </c>
      <c r="B147" s="31"/>
      <c r="C147" s="32"/>
      <c r="D147" s="39"/>
      <c r="E147" s="90"/>
      <c r="F147" s="41">
        <f>round(F146*10%,0)</f>
        <v>37625400</v>
      </c>
    </row>
    <row r="148">
      <c r="A148" s="33" t="s">
        <v>16</v>
      </c>
      <c r="B148" s="31"/>
      <c r="C148" s="32"/>
      <c r="D148" s="39"/>
      <c r="E148" s="90"/>
      <c r="F148" s="41">
        <f>F146+F147</f>
        <v>413879402</v>
      </c>
    </row>
    <row r="153">
      <c r="A153" s="52" t="s">
        <v>71</v>
      </c>
    </row>
    <row r="154">
      <c r="A154" s="53"/>
      <c r="B154" s="53"/>
      <c r="C154" s="53"/>
      <c r="D154" s="53"/>
      <c r="E154" s="53"/>
      <c r="F154" s="53"/>
    </row>
    <row r="155">
      <c r="A155" s="9" t="s">
        <v>4</v>
      </c>
      <c r="B155" s="9" t="s">
        <v>5</v>
      </c>
      <c r="C155" s="9" t="s">
        <v>6</v>
      </c>
      <c r="D155" s="9" t="s">
        <v>7</v>
      </c>
      <c r="E155" s="9" t="s">
        <v>8</v>
      </c>
      <c r="F155" s="9" t="s">
        <v>9</v>
      </c>
    </row>
    <row r="156">
      <c r="A156" s="13">
        <v>1.0</v>
      </c>
      <c r="B156" s="54" t="s">
        <v>72</v>
      </c>
      <c r="C156" s="55">
        <v>46054.0</v>
      </c>
      <c r="D156" s="22">
        <v>15323.81</v>
      </c>
      <c r="E156" s="56"/>
      <c r="F156" s="28"/>
    </row>
    <row r="157">
      <c r="A157" s="30" t="s">
        <v>32</v>
      </c>
      <c r="B157" s="31"/>
      <c r="C157" s="32"/>
      <c r="D157" s="24">
        <f>round(D156*(1+10%),2)</f>
        <v>16856.19</v>
      </c>
      <c r="E157" s="57"/>
      <c r="F157" s="28"/>
    </row>
    <row r="158">
      <c r="A158" s="30" t="s">
        <v>24</v>
      </c>
      <c r="B158" s="31"/>
      <c r="C158" s="32"/>
      <c r="D158" s="24">
        <f>round(D157*10%,2)</f>
        <v>1685.62</v>
      </c>
      <c r="E158" s="57"/>
      <c r="F158" s="28"/>
    </row>
    <row r="159">
      <c r="A159" s="33" t="s">
        <v>9</v>
      </c>
      <c r="B159" s="31"/>
      <c r="C159" s="32"/>
      <c r="D159" s="39">
        <f>D157-D158</f>
        <v>15170.57</v>
      </c>
      <c r="E159" s="90">
        <v>26240.0</v>
      </c>
      <c r="F159" s="41">
        <f>round(D159*E159,0)</f>
        <v>398075757</v>
      </c>
    </row>
    <row r="160">
      <c r="A160" s="33" t="s">
        <v>26</v>
      </c>
      <c r="B160" s="31"/>
      <c r="C160" s="32"/>
      <c r="D160" s="39"/>
      <c r="E160" s="90"/>
      <c r="F160" s="41">
        <f>round(F159*10%,0)</f>
        <v>39807576</v>
      </c>
    </row>
    <row r="161">
      <c r="A161" s="33" t="s">
        <v>16</v>
      </c>
      <c r="B161" s="31"/>
      <c r="C161" s="32"/>
      <c r="D161" s="39"/>
      <c r="E161" s="90"/>
      <c r="F161" s="41">
        <f>F159+F160</f>
        <v>437883333</v>
      </c>
    </row>
    <row r="164">
      <c r="A164" s="104" t="s">
        <v>4</v>
      </c>
      <c r="B164" s="105" t="s">
        <v>73</v>
      </c>
      <c r="C164" s="106" t="s">
        <v>74</v>
      </c>
    </row>
    <row r="165">
      <c r="A165" s="107">
        <v>1.0</v>
      </c>
      <c r="B165" s="108" t="s">
        <v>75</v>
      </c>
      <c r="C165" s="116">
        <v>5.0</v>
      </c>
    </row>
    <row r="166">
      <c r="A166" s="107">
        <v>2.0</v>
      </c>
      <c r="B166" s="111" t="s">
        <v>76</v>
      </c>
      <c r="C166" s="109">
        <v>198.4</v>
      </c>
      <c r="D166" s="110"/>
    </row>
    <row r="167">
      <c r="A167" s="107">
        <v>3.0</v>
      </c>
      <c r="B167" s="108" t="s">
        <v>77</v>
      </c>
      <c r="C167" s="109">
        <v>107.37</v>
      </c>
    </row>
    <row r="168">
      <c r="A168" s="107">
        <v>4.0</v>
      </c>
      <c r="B168" s="108" t="s">
        <v>78</v>
      </c>
      <c r="C168" s="109">
        <v>12349.6</v>
      </c>
    </row>
    <row r="169">
      <c r="A169" s="107">
        <v>5.0</v>
      </c>
      <c r="B169" s="108" t="s">
        <v>80</v>
      </c>
      <c r="C169" s="109">
        <v>216.53</v>
      </c>
      <c r="D169" s="110"/>
    </row>
    <row r="170">
      <c r="A170" s="107">
        <v>6.0</v>
      </c>
      <c r="B170" s="108" t="s">
        <v>81</v>
      </c>
      <c r="C170" s="109">
        <v>348.0</v>
      </c>
    </row>
    <row r="171">
      <c r="A171" s="107">
        <v>7.0</v>
      </c>
      <c r="B171" s="108" t="s">
        <v>82</v>
      </c>
      <c r="C171" s="109">
        <v>113.29</v>
      </c>
    </row>
    <row r="172">
      <c r="A172" s="107">
        <v>8.0</v>
      </c>
      <c r="B172" s="108" t="s">
        <v>83</v>
      </c>
      <c r="C172" s="109">
        <v>8.09</v>
      </c>
      <c r="D172" s="110"/>
    </row>
    <row r="173">
      <c r="A173" s="107">
        <v>9.0</v>
      </c>
      <c r="B173" s="108" t="s">
        <v>84</v>
      </c>
      <c r="C173" s="109">
        <v>0.02</v>
      </c>
    </row>
    <row r="174">
      <c r="A174" s="107">
        <v>10.0</v>
      </c>
      <c r="B174" s="108" t="s">
        <v>85</v>
      </c>
      <c r="C174" s="109">
        <v>23.93</v>
      </c>
    </row>
    <row r="175">
      <c r="A175" s="107">
        <v>11.0</v>
      </c>
      <c r="B175" s="108" t="s">
        <v>86</v>
      </c>
      <c r="C175" s="109">
        <v>1953.58</v>
      </c>
      <c r="D175" s="110"/>
    </row>
    <row r="176">
      <c r="A176" s="112" t="s">
        <v>87</v>
      </c>
      <c r="B176" s="32"/>
      <c r="C176" s="113">
        <f>sum(C165:C175)</f>
        <v>15323.81</v>
      </c>
    </row>
    <row r="177">
      <c r="A177" s="30" t="s">
        <v>32</v>
      </c>
      <c r="B177" s="32"/>
      <c r="C177" s="24">
        <f>round(C176*(1+10%),2)</f>
        <v>16856.19</v>
      </c>
    </row>
    <row r="178">
      <c r="A178" s="30" t="s">
        <v>24</v>
      </c>
      <c r="B178" s="32"/>
      <c r="C178" s="24">
        <f>round(C177*10%,2)</f>
        <v>1685.62</v>
      </c>
    </row>
    <row r="179">
      <c r="A179" s="33" t="s">
        <v>88</v>
      </c>
      <c r="B179" s="32"/>
      <c r="C179" s="39">
        <f>C177-C178</f>
        <v>15170.57</v>
      </c>
    </row>
    <row r="180">
      <c r="A180" s="33" t="s">
        <v>8</v>
      </c>
      <c r="B180" s="32"/>
      <c r="C180" s="114">
        <v>26240.0</v>
      </c>
    </row>
    <row r="181">
      <c r="A181" s="33" t="s">
        <v>89</v>
      </c>
      <c r="B181" s="32"/>
      <c r="C181" s="115">
        <f>round(C179*C180,0)</f>
        <v>398075757</v>
      </c>
    </row>
    <row r="182">
      <c r="A182" s="33" t="s">
        <v>90</v>
      </c>
      <c r="B182" s="32"/>
      <c r="C182" s="115">
        <f>round(C181*10%,0)</f>
        <v>39807576</v>
      </c>
    </row>
    <row r="183">
      <c r="A183" s="33" t="s">
        <v>91</v>
      </c>
      <c r="B183" s="32"/>
      <c r="C183" s="115">
        <f>C181+C182</f>
        <v>437883333</v>
      </c>
    </row>
    <row r="187">
      <c r="B187" s="99">
        <v>46082.0</v>
      </c>
      <c r="I187" s="110"/>
    </row>
    <row r="189">
      <c r="A189" s="104" t="s">
        <v>4</v>
      </c>
      <c r="B189" s="105" t="s">
        <v>73</v>
      </c>
      <c r="C189" s="106" t="s">
        <v>74</v>
      </c>
    </row>
    <row r="190">
      <c r="A190" s="107">
        <v>1.0</v>
      </c>
      <c r="B190" s="108" t="s">
        <v>75</v>
      </c>
      <c r="C190" s="109">
        <v>5.0</v>
      </c>
      <c r="I190" s="110"/>
    </row>
    <row r="191">
      <c r="A191" s="107">
        <v>2.0</v>
      </c>
      <c r="B191" s="111" t="s">
        <v>76</v>
      </c>
      <c r="C191" s="109">
        <v>198.4</v>
      </c>
    </row>
    <row r="192">
      <c r="A192" s="107">
        <v>3.0</v>
      </c>
      <c r="B192" s="108" t="s">
        <v>77</v>
      </c>
      <c r="C192" s="109">
        <v>108.77</v>
      </c>
    </row>
    <row r="193">
      <c r="A193" s="107">
        <v>4.0</v>
      </c>
      <c r="B193" s="108" t="s">
        <v>78</v>
      </c>
      <c r="C193" s="109">
        <v>12545.78</v>
      </c>
      <c r="I193" s="110"/>
    </row>
    <row r="194">
      <c r="A194" s="107">
        <v>5.0</v>
      </c>
      <c r="B194" s="108" t="s">
        <v>80</v>
      </c>
      <c r="C194" s="109">
        <v>216.6</v>
      </c>
    </row>
    <row r="195">
      <c r="A195" s="107">
        <v>6.0</v>
      </c>
      <c r="B195" s="108" t="s">
        <v>81</v>
      </c>
      <c r="C195" s="109">
        <v>348.0</v>
      </c>
    </row>
    <row r="196">
      <c r="A196" s="107">
        <v>7.0</v>
      </c>
      <c r="B196" s="108" t="s">
        <v>82</v>
      </c>
      <c r="C196" s="109">
        <v>116.01</v>
      </c>
      <c r="I196" s="110"/>
    </row>
    <row r="197">
      <c r="A197" s="107">
        <v>8.0</v>
      </c>
      <c r="B197" s="108" t="s">
        <v>83</v>
      </c>
      <c r="C197" s="109">
        <v>0.0</v>
      </c>
    </row>
    <row r="198">
      <c r="A198" s="107">
        <v>9.0</v>
      </c>
      <c r="B198" s="108" t="s">
        <v>84</v>
      </c>
      <c r="C198" s="109">
        <v>0.02</v>
      </c>
    </row>
    <row r="199">
      <c r="A199" s="107">
        <v>10.0</v>
      </c>
      <c r="B199" s="108" t="s">
        <v>85</v>
      </c>
      <c r="C199" s="109">
        <v>23.93</v>
      </c>
      <c r="I199" s="110"/>
    </row>
    <row r="200">
      <c r="A200" s="107">
        <v>11.0</v>
      </c>
      <c r="B200" s="108" t="s">
        <v>86</v>
      </c>
      <c r="C200" s="109">
        <v>2205.56</v>
      </c>
    </row>
    <row r="201">
      <c r="A201" s="112" t="s">
        <v>87</v>
      </c>
      <c r="B201" s="32"/>
      <c r="C201" s="113">
        <f>sum(C190:C200)</f>
        <v>15768.07</v>
      </c>
    </row>
    <row r="202">
      <c r="A202" s="30" t="s">
        <v>32</v>
      </c>
      <c r="B202" s="32"/>
      <c r="C202" s="24">
        <f>round(C201*(1+10%),2)</f>
        <v>17344.88</v>
      </c>
      <c r="I202" s="110"/>
    </row>
    <row r="203">
      <c r="A203" s="30" t="s">
        <v>24</v>
      </c>
      <c r="B203" s="32"/>
      <c r="C203" s="24">
        <f>round(C202*10%,2)</f>
        <v>1734.49</v>
      </c>
    </row>
    <row r="204">
      <c r="A204" s="33" t="s">
        <v>88</v>
      </c>
      <c r="B204" s="32"/>
      <c r="C204" s="39">
        <f>C202-C203</f>
        <v>15610.39</v>
      </c>
    </row>
    <row r="205">
      <c r="A205" s="33" t="s">
        <v>8</v>
      </c>
      <c r="B205" s="32"/>
      <c r="C205" s="114">
        <v>26357.0</v>
      </c>
      <c r="I205" s="110"/>
    </row>
    <row r="206">
      <c r="A206" s="33" t="s">
        <v>89</v>
      </c>
      <c r="B206" s="32"/>
      <c r="C206" s="115">
        <f>round(C204*C205,0)</f>
        <v>411443049</v>
      </c>
    </row>
    <row r="207">
      <c r="A207" s="33" t="s">
        <v>90</v>
      </c>
      <c r="B207" s="32"/>
      <c r="C207" s="115">
        <f>round(C206*10%,0)</f>
        <v>41144305</v>
      </c>
    </row>
    <row r="208">
      <c r="A208" s="33" t="s">
        <v>91</v>
      </c>
      <c r="B208" s="32"/>
      <c r="C208" s="115">
        <f>C206+C207</f>
        <v>452587354</v>
      </c>
      <c r="I208" s="110"/>
    </row>
    <row r="211">
      <c r="I211" s="110"/>
    </row>
    <row r="213">
      <c r="B213" s="99">
        <v>46113.0</v>
      </c>
    </row>
    <row r="214">
      <c r="I214" s="110"/>
    </row>
    <row r="215">
      <c r="A215" s="104" t="s">
        <v>4</v>
      </c>
      <c r="B215" s="105" t="s">
        <v>73</v>
      </c>
      <c r="C215" s="106" t="s">
        <v>74</v>
      </c>
    </row>
    <row r="216">
      <c r="A216" s="107">
        <v>1.0</v>
      </c>
      <c r="B216" s="108" t="s">
        <v>75</v>
      </c>
      <c r="C216" s="109">
        <v>5.0</v>
      </c>
    </row>
    <row r="217">
      <c r="A217" s="107">
        <v>2.0</v>
      </c>
      <c r="B217" s="111" t="s">
        <v>76</v>
      </c>
      <c r="C217" s="109">
        <v>198.4</v>
      </c>
      <c r="E217" s="110"/>
      <c r="I217" s="110"/>
    </row>
    <row r="218">
      <c r="A218" s="107">
        <v>3.0</v>
      </c>
      <c r="B218" s="108" t="s">
        <v>77</v>
      </c>
      <c r="C218" s="116">
        <v>105.37</v>
      </c>
    </row>
    <row r="219">
      <c r="A219" s="107">
        <v>4.0</v>
      </c>
      <c r="B219" s="108" t="s">
        <v>78</v>
      </c>
      <c r="C219" s="116">
        <v>12814.45</v>
      </c>
      <c r="I219" s="110"/>
    </row>
    <row r="220">
      <c r="A220" s="107">
        <v>5.0</v>
      </c>
      <c r="B220" s="108" t="s">
        <v>79</v>
      </c>
      <c r="C220" s="116">
        <v>523.7</v>
      </c>
      <c r="E220" s="110"/>
    </row>
    <row r="221">
      <c r="A221" s="107">
        <v>6.0</v>
      </c>
      <c r="B221" s="108" t="s">
        <v>80</v>
      </c>
      <c r="C221" s="116">
        <v>216.6</v>
      </c>
      <c r="E221" s="110"/>
    </row>
    <row r="222">
      <c r="A222" s="107">
        <v>7.0</v>
      </c>
      <c r="B222" s="108" t="s">
        <v>81</v>
      </c>
      <c r="C222" s="116">
        <v>357.59</v>
      </c>
    </row>
    <row r="223">
      <c r="A223" s="107">
        <v>8.0</v>
      </c>
      <c r="B223" s="108" t="s">
        <v>82</v>
      </c>
      <c r="C223" s="116">
        <v>119.49</v>
      </c>
      <c r="I223" s="110"/>
    </row>
    <row r="224">
      <c r="A224" s="107">
        <v>9.0</v>
      </c>
      <c r="B224" s="108" t="s">
        <v>83</v>
      </c>
      <c r="C224" s="116">
        <v>0.0</v>
      </c>
      <c r="E224" s="110"/>
    </row>
    <row r="225">
      <c r="A225" s="107">
        <v>10.0</v>
      </c>
      <c r="B225" s="108" t="s">
        <v>84</v>
      </c>
      <c r="C225" s="116">
        <v>0.02</v>
      </c>
      <c r="I225" s="110"/>
    </row>
    <row r="226">
      <c r="A226" s="107">
        <v>11.0</v>
      </c>
      <c r="B226" s="108" t="s">
        <v>85</v>
      </c>
      <c r="C226" s="116">
        <v>24.25</v>
      </c>
    </row>
    <row r="227">
      <c r="A227" s="107">
        <v>12.0</v>
      </c>
      <c r="B227" s="108" t="s">
        <v>86</v>
      </c>
      <c r="C227" s="116">
        <v>2494.79</v>
      </c>
      <c r="E227" s="110"/>
    </row>
    <row r="228">
      <c r="A228" s="112" t="s">
        <v>87</v>
      </c>
      <c r="B228" s="32"/>
      <c r="C228" s="113">
        <f>sum(C216:C227)</f>
        <v>16859.66</v>
      </c>
    </row>
    <row r="229">
      <c r="A229" s="30" t="s">
        <v>32</v>
      </c>
      <c r="B229" s="32"/>
      <c r="C229" s="24">
        <f>round(C228*(1+10%),2)</f>
        <v>18545.63</v>
      </c>
    </row>
    <row r="230">
      <c r="A230" s="30" t="s">
        <v>24</v>
      </c>
      <c r="B230" s="32"/>
      <c r="C230" s="24">
        <f>round(C229*10%,2)</f>
        <v>1854.56</v>
      </c>
      <c r="E230" s="110"/>
    </row>
    <row r="231">
      <c r="A231" s="33" t="s">
        <v>88</v>
      </c>
      <c r="B231" s="32"/>
      <c r="C231" s="39">
        <f>C229-C230</f>
        <v>16691.07</v>
      </c>
    </row>
    <row r="232">
      <c r="A232" s="33" t="s">
        <v>8</v>
      </c>
      <c r="B232" s="32"/>
      <c r="C232" s="114">
        <v>26368.0</v>
      </c>
    </row>
    <row r="233">
      <c r="A233" s="33" t="s">
        <v>89</v>
      </c>
      <c r="B233" s="32"/>
      <c r="C233" s="115">
        <f>round(C231*C232,0)</f>
        <v>440110134</v>
      </c>
      <c r="E233" s="110"/>
    </row>
    <row r="234">
      <c r="A234" s="33" t="s">
        <v>90</v>
      </c>
      <c r="B234" s="32"/>
      <c r="C234" s="115">
        <f>round(C233*10%,0)</f>
        <v>44011013</v>
      </c>
    </row>
    <row r="235">
      <c r="A235" s="33" t="s">
        <v>91</v>
      </c>
      <c r="B235" s="32"/>
      <c r="C235" s="115">
        <f>C233+C234</f>
        <v>484121147</v>
      </c>
    </row>
    <row r="236">
      <c r="E236" s="110"/>
    </row>
    <row r="239">
      <c r="E239" s="110"/>
    </row>
    <row r="241">
      <c r="B241" s="99">
        <v>46143.0</v>
      </c>
    </row>
    <row r="242">
      <c r="E242" s="110"/>
    </row>
    <row r="243">
      <c r="A243" s="104" t="s">
        <v>4</v>
      </c>
      <c r="B243" s="105" t="s">
        <v>73</v>
      </c>
      <c r="C243" s="106" t="s">
        <v>74</v>
      </c>
    </row>
    <row r="244">
      <c r="A244" s="107">
        <v>1.0</v>
      </c>
      <c r="B244" s="108" t="s">
        <v>77</v>
      </c>
      <c r="C244" s="109">
        <v>31.6</v>
      </c>
      <c r="F244" s="110"/>
    </row>
    <row r="245">
      <c r="A245" s="107">
        <v>2.0</v>
      </c>
      <c r="B245" s="111" t="s">
        <v>94</v>
      </c>
      <c r="C245" s="116">
        <v>306.363</v>
      </c>
      <c r="E245" s="110"/>
    </row>
    <row r="246">
      <c r="A246" s="107">
        <v>3.0</v>
      </c>
      <c r="B246" s="108" t="s">
        <v>95</v>
      </c>
      <c r="C246" s="109">
        <v>54.39</v>
      </c>
    </row>
    <row r="247">
      <c r="A247" s="107">
        <v>4.0</v>
      </c>
      <c r="B247" s="108" t="s">
        <v>96</v>
      </c>
      <c r="C247" s="109">
        <v>8.82</v>
      </c>
      <c r="F247" s="110"/>
    </row>
    <row r="248">
      <c r="A248" s="107">
        <v>5.0</v>
      </c>
      <c r="B248" s="108" t="s">
        <v>82</v>
      </c>
      <c r="C248" s="109">
        <v>0.69</v>
      </c>
      <c r="E248" s="110"/>
    </row>
    <row r="249">
      <c r="A249" s="107">
        <v>6.0</v>
      </c>
      <c r="B249" s="108" t="s">
        <v>83</v>
      </c>
      <c r="C249" s="109">
        <v>0.0</v>
      </c>
    </row>
    <row r="250">
      <c r="A250" s="107">
        <v>7.0</v>
      </c>
      <c r="B250" s="108" t="s">
        <v>86</v>
      </c>
      <c r="C250" s="109">
        <v>18.64</v>
      </c>
      <c r="F250" s="110"/>
    </row>
    <row r="251">
      <c r="A251" s="107">
        <v>8.0</v>
      </c>
      <c r="B251" s="108" t="s">
        <v>97</v>
      </c>
      <c r="C251" s="116">
        <v>205.0</v>
      </c>
      <c r="E251" s="110"/>
    </row>
    <row r="252">
      <c r="A252" s="112" t="s">
        <v>87</v>
      </c>
      <c r="B252" s="32"/>
      <c r="C252" s="113">
        <f>sum(C244:C250)-C251</f>
        <v>215.503</v>
      </c>
      <c r="F252" s="110"/>
    </row>
    <row r="253">
      <c r="A253" s="30" t="s">
        <v>32</v>
      </c>
      <c r="B253" s="32"/>
      <c r="C253" s="24">
        <f>round(C252*(1+10%),2)</f>
        <v>237.05</v>
      </c>
    </row>
    <row r="254">
      <c r="A254" s="30" t="s">
        <v>24</v>
      </c>
      <c r="B254" s="32"/>
      <c r="C254" s="24">
        <f>round(C253*10%,2)</f>
        <v>23.71</v>
      </c>
    </row>
    <row r="255">
      <c r="A255" s="33" t="s">
        <v>88</v>
      </c>
      <c r="B255" s="32"/>
      <c r="C255" s="39">
        <f>C253-C254</f>
        <v>213.34</v>
      </c>
      <c r="F255" s="110"/>
    </row>
    <row r="256">
      <c r="A256" s="33" t="s">
        <v>8</v>
      </c>
      <c r="B256" s="32"/>
      <c r="C256" s="114">
        <v>26395.0</v>
      </c>
    </row>
    <row r="257">
      <c r="A257" s="33" t="s">
        <v>89</v>
      </c>
      <c r="B257" s="32"/>
      <c r="C257" s="115">
        <f>round(C255*C256,0)</f>
        <v>5631109</v>
      </c>
    </row>
    <row r="258">
      <c r="A258" s="33" t="s">
        <v>90</v>
      </c>
      <c r="B258" s="32"/>
      <c r="C258" s="115">
        <f>round(C257*10%,0)</f>
        <v>563111</v>
      </c>
      <c r="F258" s="110"/>
    </row>
    <row r="259">
      <c r="A259" s="33" t="s">
        <v>91</v>
      </c>
      <c r="B259" s="32"/>
      <c r="C259" s="115">
        <f>C257+C258</f>
        <v>6194220</v>
      </c>
    </row>
    <row r="264">
      <c r="B264" s="99">
        <v>46174.0</v>
      </c>
    </row>
    <row r="266">
      <c r="A266" s="104" t="s">
        <v>4</v>
      </c>
      <c r="B266" s="105" t="s">
        <v>73</v>
      </c>
      <c r="C266" s="106" t="s">
        <v>74</v>
      </c>
      <c r="F266" s="117"/>
    </row>
    <row r="267">
      <c r="A267" s="107">
        <v>1.0</v>
      </c>
      <c r="B267" s="108" t="s">
        <v>77</v>
      </c>
      <c r="C267" s="109">
        <v>93.92</v>
      </c>
      <c r="F267" s="118"/>
    </row>
    <row r="268">
      <c r="A268" s="107">
        <v>2.0</v>
      </c>
      <c r="B268" s="111" t="s">
        <v>94</v>
      </c>
      <c r="C268" s="109">
        <v>1574.96</v>
      </c>
      <c r="F268" s="119"/>
    </row>
    <row r="269">
      <c r="A269" s="107">
        <v>3.0</v>
      </c>
      <c r="B269" s="108" t="s">
        <v>95</v>
      </c>
      <c r="C269" s="109">
        <v>153.2</v>
      </c>
      <c r="F269" s="120"/>
    </row>
    <row r="270">
      <c r="A270" s="107">
        <v>4.0</v>
      </c>
      <c r="B270" s="108" t="s">
        <v>96</v>
      </c>
      <c r="C270" s="109">
        <v>56.45</v>
      </c>
      <c r="F270" s="119"/>
    </row>
    <row r="271">
      <c r="A271" s="107">
        <v>5.0</v>
      </c>
      <c r="B271" s="108" t="s">
        <v>82</v>
      </c>
      <c r="C271" s="109">
        <v>27.45</v>
      </c>
      <c r="F271" s="120"/>
    </row>
    <row r="272">
      <c r="A272" s="107">
        <v>6.0</v>
      </c>
      <c r="B272" s="108" t="s">
        <v>83</v>
      </c>
      <c r="C272" s="109">
        <v>858.81</v>
      </c>
      <c r="F272" s="119"/>
    </row>
    <row r="273">
      <c r="A273" s="107">
        <v>7.0</v>
      </c>
      <c r="B273" s="108" t="s">
        <v>86</v>
      </c>
      <c r="C273" s="109">
        <v>150.0</v>
      </c>
      <c r="F273" s="120"/>
    </row>
    <row r="274">
      <c r="A274" s="112" t="s">
        <v>87</v>
      </c>
      <c r="B274" s="32"/>
      <c r="C274" s="113">
        <f>sum(C267:C273)</f>
        <v>2914.79</v>
      </c>
      <c r="F274" s="120"/>
    </row>
    <row r="275">
      <c r="A275" s="30" t="s">
        <v>32</v>
      </c>
      <c r="B275" s="32"/>
      <c r="C275" s="24">
        <f>round(C274*(1+10%),2)</f>
        <v>3206.27</v>
      </c>
      <c r="F275" s="119"/>
    </row>
    <row r="276">
      <c r="A276" s="30" t="s">
        <v>24</v>
      </c>
      <c r="B276" s="32"/>
      <c r="C276" s="24">
        <f>round(C275*10%,2)</f>
        <v>320.63</v>
      </c>
      <c r="F276" s="120"/>
    </row>
    <row r="277">
      <c r="A277" s="33" t="s">
        <v>88</v>
      </c>
      <c r="B277" s="32"/>
      <c r="C277" s="39">
        <f>C275-C276</f>
        <v>2885.64</v>
      </c>
      <c r="F277" s="119"/>
    </row>
    <row r="278">
      <c r="A278" s="33" t="s">
        <v>8</v>
      </c>
      <c r="B278" s="32"/>
      <c r="C278" s="114">
        <v>26466.0</v>
      </c>
      <c r="F278" s="120"/>
    </row>
    <row r="279">
      <c r="A279" s="33" t="s">
        <v>89</v>
      </c>
      <c r="B279" s="32"/>
      <c r="C279" s="115">
        <f>round(C277*C278,0)</f>
        <v>76371348</v>
      </c>
    </row>
    <row r="280">
      <c r="A280" s="33" t="s">
        <v>90</v>
      </c>
      <c r="B280" s="32"/>
      <c r="C280" s="115">
        <f>round(C279*10%,0)</f>
        <v>7637135</v>
      </c>
    </row>
    <row r="281">
      <c r="A281" s="33" t="s">
        <v>91</v>
      </c>
      <c r="B281" s="32"/>
      <c r="C281" s="115">
        <f>C279+C280</f>
        <v>84008483</v>
      </c>
    </row>
    <row r="286">
      <c r="B286" s="99">
        <v>46204.0</v>
      </c>
    </row>
    <row r="288">
      <c r="A288" s="104" t="s">
        <v>4</v>
      </c>
      <c r="B288" s="105" t="s">
        <v>73</v>
      </c>
      <c r="C288" s="106" t="s">
        <v>74</v>
      </c>
    </row>
    <row r="289">
      <c r="A289" s="107">
        <v>1.0</v>
      </c>
      <c r="B289" s="108" t="s">
        <v>77</v>
      </c>
      <c r="C289" s="116">
        <v>97.48</v>
      </c>
      <c r="F289" s="110"/>
    </row>
    <row r="290">
      <c r="A290" s="107">
        <v>2.0</v>
      </c>
      <c r="B290" s="111" t="s">
        <v>94</v>
      </c>
      <c r="C290" s="116">
        <v>1631.37</v>
      </c>
    </row>
    <row r="291">
      <c r="A291" s="107">
        <v>3.0</v>
      </c>
      <c r="B291" s="108" t="s">
        <v>95</v>
      </c>
      <c r="C291" s="116">
        <v>153.2</v>
      </c>
    </row>
    <row r="292">
      <c r="A292" s="107">
        <v>4.0</v>
      </c>
      <c r="B292" s="108" t="s">
        <v>96</v>
      </c>
      <c r="C292" s="116">
        <v>60.0</v>
      </c>
      <c r="F292" s="110"/>
    </row>
    <row r="293">
      <c r="A293" s="107">
        <v>5.0</v>
      </c>
      <c r="B293" s="108" t="s">
        <v>82</v>
      </c>
      <c r="C293" s="116">
        <v>45.16</v>
      </c>
    </row>
    <row r="294">
      <c r="A294" s="107">
        <v>6.0</v>
      </c>
      <c r="B294" s="108" t="s">
        <v>83</v>
      </c>
      <c r="C294" s="116">
        <v>499.3</v>
      </c>
    </row>
    <row r="295">
      <c r="A295" s="107">
        <v>7.0</v>
      </c>
      <c r="B295" s="108" t="s">
        <v>86</v>
      </c>
      <c r="C295" s="116">
        <v>150.0</v>
      </c>
      <c r="F295" s="110"/>
    </row>
    <row r="296">
      <c r="A296" s="112" t="s">
        <v>87</v>
      </c>
      <c r="B296" s="32"/>
      <c r="C296" s="113">
        <f>sum(C289:C295)</f>
        <v>2636.51</v>
      </c>
    </row>
    <row r="297">
      <c r="A297" s="30" t="s">
        <v>32</v>
      </c>
      <c r="B297" s="32"/>
      <c r="C297" s="24">
        <f>round(C296*(1+10%),2)</f>
        <v>2900.16</v>
      </c>
    </row>
    <row r="298">
      <c r="A298" s="30" t="s">
        <v>24</v>
      </c>
      <c r="B298" s="32"/>
      <c r="C298" s="24">
        <f>round(C297*10%,2)</f>
        <v>290.02</v>
      </c>
      <c r="F298" s="110"/>
    </row>
    <row r="299">
      <c r="A299" s="33" t="s">
        <v>88</v>
      </c>
      <c r="B299" s="32"/>
      <c r="C299" s="39">
        <f>C297-C298</f>
        <v>2610.14</v>
      </c>
    </row>
    <row r="300">
      <c r="A300" s="33" t="s">
        <v>8</v>
      </c>
      <c r="B300" s="32"/>
      <c r="C300" s="114">
        <v>26475.0</v>
      </c>
    </row>
    <row r="301">
      <c r="A301" s="33" t="s">
        <v>89</v>
      </c>
      <c r="B301" s="32"/>
      <c r="C301" s="115">
        <f>round(C299*C300,0)</f>
        <v>69103457</v>
      </c>
      <c r="F301" s="110"/>
    </row>
    <row r="302">
      <c r="A302" s="33" t="s">
        <v>90</v>
      </c>
      <c r="B302" s="32"/>
      <c r="C302" s="115">
        <f>round(C301*10%,0)</f>
        <v>6910346</v>
      </c>
    </row>
    <row r="303">
      <c r="A303" s="33" t="s">
        <v>91</v>
      </c>
      <c r="B303" s="32"/>
      <c r="C303" s="115">
        <f>C301+C302</f>
        <v>76013803</v>
      </c>
    </row>
    <row r="304">
      <c r="F304" s="110"/>
    </row>
    <row r="307">
      <c r="F307" s="110"/>
    </row>
  </sheetData>
  <mergeCells count="126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49:F49"/>
    <mergeCell ref="A53:C53"/>
    <mergeCell ref="A54:C54"/>
    <mergeCell ref="A55:C55"/>
    <mergeCell ref="A56:C56"/>
    <mergeCell ref="A57:C57"/>
    <mergeCell ref="A61:F61"/>
    <mergeCell ref="A65:C65"/>
    <mergeCell ref="A66:C66"/>
    <mergeCell ref="A67:C67"/>
    <mergeCell ref="A68:C68"/>
    <mergeCell ref="A69:C69"/>
    <mergeCell ref="A73:F73"/>
    <mergeCell ref="A77:C77"/>
    <mergeCell ref="A78:C78"/>
    <mergeCell ref="A79:C79"/>
    <mergeCell ref="A80:C80"/>
    <mergeCell ref="A81:C81"/>
    <mergeCell ref="A86:F86"/>
    <mergeCell ref="A90:C90"/>
    <mergeCell ref="A91:C91"/>
    <mergeCell ref="A92:C92"/>
    <mergeCell ref="A93:C93"/>
    <mergeCell ref="A94:C94"/>
    <mergeCell ref="A99:F99"/>
    <mergeCell ref="A232:B232"/>
    <mergeCell ref="A233:B233"/>
    <mergeCell ref="A234:B234"/>
    <mergeCell ref="A235:B235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74:B274"/>
    <mergeCell ref="A275:B275"/>
    <mergeCell ref="A297:B297"/>
    <mergeCell ref="A298:B298"/>
    <mergeCell ref="A299:B299"/>
    <mergeCell ref="A300:B300"/>
    <mergeCell ref="A301:B301"/>
    <mergeCell ref="A302:B302"/>
    <mergeCell ref="A303:B303"/>
    <mergeCell ref="A276:B276"/>
    <mergeCell ref="A277:B277"/>
    <mergeCell ref="A278:B278"/>
    <mergeCell ref="A279:B279"/>
    <mergeCell ref="A280:B280"/>
    <mergeCell ref="A281:B281"/>
    <mergeCell ref="A296:B296"/>
    <mergeCell ref="A103:C103"/>
    <mergeCell ref="A104:C104"/>
    <mergeCell ref="A105:C105"/>
    <mergeCell ref="A106:C106"/>
    <mergeCell ref="A107:C107"/>
    <mergeCell ref="A112:F112"/>
    <mergeCell ref="A116:C116"/>
    <mergeCell ref="A117:C117"/>
    <mergeCell ref="A118:C118"/>
    <mergeCell ref="A119:C119"/>
    <mergeCell ref="A120:C120"/>
    <mergeCell ref="A126:F126"/>
    <mergeCell ref="A130:C130"/>
    <mergeCell ref="A131:C131"/>
    <mergeCell ref="A132:C132"/>
    <mergeCell ref="A133:C133"/>
    <mergeCell ref="A134:C134"/>
    <mergeCell ref="A140:F140"/>
    <mergeCell ref="A144:C144"/>
    <mergeCell ref="A145:C145"/>
    <mergeCell ref="A146:C146"/>
    <mergeCell ref="A147:C147"/>
    <mergeCell ref="A148:C148"/>
    <mergeCell ref="A153:F153"/>
    <mergeCell ref="A157:C157"/>
    <mergeCell ref="A158:C158"/>
    <mergeCell ref="A159:C159"/>
    <mergeCell ref="A160:C160"/>
    <mergeCell ref="A161:C161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28:B228"/>
    <mergeCell ref="A229:B229"/>
    <mergeCell ref="A230:B230"/>
    <mergeCell ref="A231:B23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75"/>
    <col customWidth="1" min="2" max="2" width="51.88"/>
    <col customWidth="1" min="3" max="3" width="29.0"/>
    <col customWidth="1" min="4" max="4" width="21.38"/>
    <col customWidth="1" min="6" max="6" width="21.75"/>
  </cols>
  <sheetData>
    <row r="1">
      <c r="B1" s="99">
        <v>46143.0</v>
      </c>
      <c r="F1" s="100"/>
    </row>
    <row r="2">
      <c r="A2" s="101"/>
      <c r="B2" s="102"/>
      <c r="C2" s="103"/>
      <c r="F2" s="100"/>
    </row>
    <row r="3">
      <c r="A3" s="104" t="s">
        <v>4</v>
      </c>
      <c r="B3" s="105" t="s">
        <v>73</v>
      </c>
      <c r="C3" s="106" t="s">
        <v>74</v>
      </c>
    </row>
    <row r="4">
      <c r="A4" s="107">
        <v>1.0</v>
      </c>
      <c r="B4" s="108" t="s">
        <v>75</v>
      </c>
      <c r="C4" s="109">
        <v>5.0</v>
      </c>
      <c r="F4" s="110"/>
    </row>
    <row r="5">
      <c r="A5" s="107">
        <v>2.0</v>
      </c>
      <c r="B5" s="111" t="s">
        <v>76</v>
      </c>
      <c r="C5" s="109">
        <v>203.8</v>
      </c>
      <c r="F5" s="110"/>
    </row>
    <row r="6">
      <c r="A6" s="107">
        <v>3.0</v>
      </c>
      <c r="B6" s="108" t="s">
        <v>77</v>
      </c>
      <c r="C6" s="109">
        <v>124.76</v>
      </c>
    </row>
    <row r="7">
      <c r="A7" s="107">
        <v>4.0</v>
      </c>
      <c r="B7" s="108" t="s">
        <v>78</v>
      </c>
      <c r="C7" s="109">
        <v>13165.93</v>
      </c>
      <c r="F7" s="110"/>
    </row>
    <row r="8">
      <c r="A8" s="107"/>
      <c r="B8" s="108" t="s">
        <v>79</v>
      </c>
      <c r="C8" s="109">
        <v>565.44</v>
      </c>
      <c r="F8" s="110"/>
    </row>
    <row r="9">
      <c r="A9" s="107">
        <v>5.0</v>
      </c>
      <c r="B9" s="108" t="s">
        <v>80</v>
      </c>
      <c r="C9" s="109">
        <v>216.6</v>
      </c>
      <c r="F9" s="110"/>
    </row>
    <row r="10">
      <c r="A10" s="107">
        <v>6.0</v>
      </c>
      <c r="B10" s="108" t="s">
        <v>81</v>
      </c>
      <c r="C10" s="109">
        <v>360.0</v>
      </c>
    </row>
    <row r="11">
      <c r="A11" s="107">
        <v>7.0</v>
      </c>
      <c r="B11" s="108" t="s">
        <v>82</v>
      </c>
      <c r="C11" s="109">
        <v>123.41</v>
      </c>
      <c r="F11" s="110"/>
    </row>
    <row r="12">
      <c r="A12" s="107">
        <v>8.0</v>
      </c>
      <c r="B12" s="108" t="s">
        <v>83</v>
      </c>
      <c r="C12" s="109">
        <v>1.86</v>
      </c>
      <c r="F12" s="110"/>
    </row>
    <row r="13">
      <c r="A13" s="107">
        <v>9.0</v>
      </c>
      <c r="B13" s="108" t="s">
        <v>84</v>
      </c>
      <c r="C13" s="109">
        <v>0.02</v>
      </c>
    </row>
    <row r="14">
      <c r="A14" s="107">
        <v>10.0</v>
      </c>
      <c r="B14" s="108" t="s">
        <v>85</v>
      </c>
      <c r="C14" s="109">
        <v>25.3</v>
      </c>
      <c r="F14" s="110"/>
    </row>
    <row r="15">
      <c r="A15" s="107">
        <v>11.0</v>
      </c>
      <c r="B15" s="108" t="s">
        <v>86</v>
      </c>
      <c r="C15" s="109">
        <v>2578.84</v>
      </c>
      <c r="F15" s="110"/>
    </row>
    <row r="16">
      <c r="A16" s="112" t="s">
        <v>87</v>
      </c>
      <c r="B16" s="32"/>
      <c r="C16" s="113">
        <f>sum(C4:C15)</f>
        <v>17370.96</v>
      </c>
    </row>
    <row r="17">
      <c r="A17" s="30" t="s">
        <v>32</v>
      </c>
      <c r="B17" s="32"/>
      <c r="C17" s="24">
        <f>round(C16*(1+10%),2)</f>
        <v>19108.06</v>
      </c>
      <c r="F17" s="110"/>
    </row>
    <row r="18">
      <c r="A18" s="30" t="s">
        <v>24</v>
      </c>
      <c r="B18" s="32"/>
      <c r="C18" s="24">
        <f>round(C17*10%,2)</f>
        <v>1910.81</v>
      </c>
      <c r="F18" s="110"/>
    </row>
    <row r="19">
      <c r="A19" s="33" t="s">
        <v>88</v>
      </c>
      <c r="B19" s="32"/>
      <c r="C19" s="39">
        <f>C17-C18</f>
        <v>17197.25</v>
      </c>
    </row>
    <row r="20">
      <c r="A20" s="33" t="s">
        <v>8</v>
      </c>
      <c r="B20" s="32"/>
      <c r="C20" s="114">
        <v>26395.0</v>
      </c>
      <c r="F20" s="110"/>
    </row>
    <row r="21">
      <c r="A21" s="33" t="s">
        <v>89</v>
      </c>
      <c r="B21" s="32"/>
      <c r="C21" s="115">
        <f>round(C19*C20,0)</f>
        <v>453921414</v>
      </c>
      <c r="F21" s="110"/>
    </row>
    <row r="22">
      <c r="A22" s="33" t="s">
        <v>90</v>
      </c>
      <c r="B22" s="32"/>
      <c r="C22" s="115">
        <f>round(C21*10%,0)</f>
        <v>45392141</v>
      </c>
    </row>
    <row r="23">
      <c r="A23" s="33" t="s">
        <v>91</v>
      </c>
      <c r="B23" s="32"/>
      <c r="C23" s="115">
        <f>C21+C22</f>
        <v>499313555</v>
      </c>
      <c r="F23" s="110"/>
    </row>
    <row r="24">
      <c r="F24" s="110"/>
    </row>
    <row r="26">
      <c r="F26" s="110"/>
    </row>
    <row r="27">
      <c r="F27" s="110"/>
    </row>
    <row r="28">
      <c r="B28" s="99">
        <v>46174.0</v>
      </c>
    </row>
    <row r="29">
      <c r="A29" s="101"/>
      <c r="B29" s="102"/>
      <c r="C29" s="103"/>
      <c r="F29" s="110"/>
    </row>
    <row r="30">
      <c r="A30" s="104" t="s">
        <v>4</v>
      </c>
      <c r="B30" s="105" t="s">
        <v>73</v>
      </c>
      <c r="C30" s="106" t="s">
        <v>74</v>
      </c>
      <c r="F30" s="110"/>
    </row>
    <row r="31">
      <c r="A31" s="107">
        <v>1.0</v>
      </c>
      <c r="B31" s="108" t="s">
        <v>75</v>
      </c>
      <c r="C31" s="109">
        <v>5.0</v>
      </c>
      <c r="F31" s="110"/>
    </row>
    <row r="32">
      <c r="A32" s="107">
        <v>2.0</v>
      </c>
      <c r="B32" s="111" t="s">
        <v>76</v>
      </c>
      <c r="C32" s="109">
        <v>170.6</v>
      </c>
      <c r="F32" s="110"/>
    </row>
    <row r="33">
      <c r="A33" s="107">
        <v>3.0</v>
      </c>
      <c r="B33" s="108" t="s">
        <v>77</v>
      </c>
      <c r="C33" s="109">
        <v>98.73</v>
      </c>
      <c r="F33" s="110"/>
    </row>
    <row r="34">
      <c r="A34" s="107">
        <v>4.0</v>
      </c>
      <c r="B34" s="108" t="s">
        <v>78</v>
      </c>
      <c r="C34" s="109">
        <v>12487.78</v>
      </c>
      <c r="F34" s="110"/>
    </row>
    <row r="35">
      <c r="A35" s="107">
        <v>5.0</v>
      </c>
      <c r="B35" s="108" t="s">
        <v>79</v>
      </c>
      <c r="C35" s="109">
        <v>547.2</v>
      </c>
      <c r="F35" s="110"/>
    </row>
    <row r="36">
      <c r="A36" s="107">
        <v>6.0</v>
      </c>
      <c r="B36" s="108" t="s">
        <v>80</v>
      </c>
      <c r="C36" s="109">
        <v>157.78</v>
      </c>
      <c r="F36" s="110"/>
    </row>
    <row r="37">
      <c r="A37" s="107">
        <v>7.0</v>
      </c>
      <c r="B37" s="108" t="s">
        <v>81</v>
      </c>
      <c r="C37" s="109">
        <v>338.68</v>
      </c>
      <c r="F37" s="110"/>
    </row>
    <row r="38">
      <c r="A38" s="107">
        <v>8.0</v>
      </c>
      <c r="B38" s="108" t="s">
        <v>82</v>
      </c>
      <c r="C38" s="109">
        <v>124.32</v>
      </c>
      <c r="F38" s="110"/>
    </row>
    <row r="39">
      <c r="A39" s="107">
        <v>9.0</v>
      </c>
      <c r="B39" s="108" t="s">
        <v>83</v>
      </c>
      <c r="C39" s="109">
        <v>4.92</v>
      </c>
    </row>
    <row r="40">
      <c r="A40" s="107">
        <v>10.0</v>
      </c>
      <c r="B40" s="108" t="s">
        <v>84</v>
      </c>
      <c r="C40" s="109">
        <v>0.02</v>
      </c>
      <c r="F40" s="110"/>
    </row>
    <row r="41">
      <c r="A41" s="107">
        <v>11.0</v>
      </c>
      <c r="B41" s="108" t="s">
        <v>85</v>
      </c>
      <c r="C41" s="109">
        <v>24.26</v>
      </c>
    </row>
    <row r="42">
      <c r="A42" s="107">
        <v>12.0</v>
      </c>
      <c r="B42" s="108" t="s">
        <v>86</v>
      </c>
      <c r="C42" s="109">
        <v>2521.62</v>
      </c>
    </row>
    <row r="43">
      <c r="A43" s="112" t="s">
        <v>87</v>
      </c>
      <c r="B43" s="32"/>
      <c r="C43" s="113">
        <f>sum(C31:C42)</f>
        <v>16480.91</v>
      </c>
      <c r="F43" s="110"/>
    </row>
    <row r="44">
      <c r="A44" s="30" t="s">
        <v>32</v>
      </c>
      <c r="B44" s="32"/>
      <c r="C44" s="24">
        <f>round(C43*(1+10%),2)</f>
        <v>18129</v>
      </c>
    </row>
    <row r="45">
      <c r="A45" s="30" t="s">
        <v>24</v>
      </c>
      <c r="B45" s="32"/>
      <c r="C45" s="24">
        <f>round(C44*10%,2)</f>
        <v>1812.9</v>
      </c>
    </row>
    <row r="46">
      <c r="A46" s="33" t="s">
        <v>88</v>
      </c>
      <c r="B46" s="32"/>
      <c r="C46" s="39">
        <f>C44-C45</f>
        <v>16316.1</v>
      </c>
      <c r="F46" s="110"/>
    </row>
    <row r="47">
      <c r="A47" s="33" t="s">
        <v>8</v>
      </c>
      <c r="B47" s="32"/>
      <c r="C47" s="114">
        <v>26466.0</v>
      </c>
    </row>
    <row r="48">
      <c r="A48" s="33" t="s">
        <v>89</v>
      </c>
      <c r="B48" s="32"/>
      <c r="C48" s="115">
        <f>round(C46*C47,0)</f>
        <v>431821903</v>
      </c>
    </row>
    <row r="49">
      <c r="A49" s="33" t="s">
        <v>90</v>
      </c>
      <c r="B49" s="32"/>
      <c r="C49" s="115">
        <f>round(C48*10%,0)</f>
        <v>43182190</v>
      </c>
      <c r="F49" s="110"/>
    </row>
    <row r="50">
      <c r="A50" s="33" t="s">
        <v>91</v>
      </c>
      <c r="B50" s="32"/>
      <c r="C50" s="115">
        <f>C48+C49</f>
        <v>475004093</v>
      </c>
    </row>
    <row r="52">
      <c r="F52" s="110"/>
    </row>
    <row r="55">
      <c r="B55" s="99">
        <v>46204.0</v>
      </c>
      <c r="F55" s="110"/>
    </row>
    <row r="56">
      <c r="A56" s="101"/>
      <c r="B56" s="102"/>
      <c r="C56" s="103"/>
    </row>
    <row r="57">
      <c r="A57" s="104" t="s">
        <v>4</v>
      </c>
      <c r="B57" s="105" t="s">
        <v>73</v>
      </c>
      <c r="C57" s="106" t="s">
        <v>74</v>
      </c>
    </row>
    <row r="58">
      <c r="A58" s="107">
        <v>1.0</v>
      </c>
      <c r="B58" s="108" t="s">
        <v>75</v>
      </c>
      <c r="C58" s="116">
        <v>5.0</v>
      </c>
      <c r="F58" s="110"/>
    </row>
    <row r="59">
      <c r="A59" s="107">
        <v>2.0</v>
      </c>
      <c r="B59" s="111" t="s">
        <v>76</v>
      </c>
      <c r="C59" s="116">
        <v>121.2</v>
      </c>
      <c r="F59" s="110"/>
    </row>
    <row r="60">
      <c r="A60" s="107">
        <v>3.0</v>
      </c>
      <c r="B60" s="108" t="s">
        <v>77</v>
      </c>
      <c r="C60" s="116">
        <v>14.2</v>
      </c>
    </row>
    <row r="61">
      <c r="A61" s="107">
        <v>4.0</v>
      </c>
      <c r="B61" s="108" t="s">
        <v>78</v>
      </c>
      <c r="C61" s="116">
        <v>10224.39</v>
      </c>
      <c r="F61" s="110"/>
    </row>
    <row r="62">
      <c r="A62" s="107">
        <v>5.0</v>
      </c>
      <c r="B62" s="108" t="s">
        <v>79</v>
      </c>
      <c r="C62" s="116">
        <v>565.44</v>
      </c>
      <c r="F62" s="110"/>
    </row>
    <row r="63">
      <c r="A63" s="107">
        <v>6.0</v>
      </c>
      <c r="B63" s="108" t="s">
        <v>80</v>
      </c>
      <c r="C63" s="116">
        <v>60.53</v>
      </c>
    </row>
    <row r="64">
      <c r="A64" s="107">
        <v>7.0</v>
      </c>
      <c r="B64" s="108" t="s">
        <v>81</v>
      </c>
      <c r="C64" s="116">
        <v>288.0</v>
      </c>
      <c r="F64" s="110"/>
    </row>
    <row r="65">
      <c r="A65" s="107">
        <v>8.0</v>
      </c>
      <c r="B65" s="108" t="s">
        <v>82</v>
      </c>
      <c r="C65" s="116">
        <v>71.53</v>
      </c>
      <c r="F65" s="110"/>
    </row>
    <row r="66">
      <c r="A66" s="107">
        <v>9.0</v>
      </c>
      <c r="B66" s="108" t="s">
        <v>83</v>
      </c>
      <c r="C66" s="116">
        <v>0.0</v>
      </c>
      <c r="F66" s="110"/>
    </row>
    <row r="67">
      <c r="A67" s="107">
        <v>10.0</v>
      </c>
      <c r="B67" s="108" t="s">
        <v>84</v>
      </c>
      <c r="C67" s="116">
        <v>0.02</v>
      </c>
    </row>
    <row r="68">
      <c r="A68" s="107">
        <v>11.0</v>
      </c>
      <c r="B68" s="108" t="s">
        <v>86</v>
      </c>
      <c r="C68" s="116">
        <v>2142.18</v>
      </c>
      <c r="F68" s="110"/>
    </row>
    <row r="69">
      <c r="A69" s="112" t="s">
        <v>87</v>
      </c>
      <c r="B69" s="32"/>
      <c r="C69" s="113">
        <f>sum(C58:C68)</f>
        <v>13492.49</v>
      </c>
    </row>
    <row r="70">
      <c r="A70" s="30" t="s">
        <v>32</v>
      </c>
      <c r="B70" s="32"/>
      <c r="C70" s="24">
        <f>round(C69*(1+10%),2)</f>
        <v>14841.74</v>
      </c>
      <c r="F70" s="110"/>
    </row>
    <row r="71">
      <c r="A71" s="30" t="s">
        <v>24</v>
      </c>
      <c r="B71" s="32"/>
      <c r="C71" s="24">
        <f>round(C70*10%,2)</f>
        <v>1484.17</v>
      </c>
    </row>
    <row r="72">
      <c r="A72" s="33" t="s">
        <v>88</v>
      </c>
      <c r="B72" s="32"/>
      <c r="C72" s="39">
        <f>C70-C71</f>
        <v>13357.57</v>
      </c>
    </row>
    <row r="73">
      <c r="A73" s="33" t="s">
        <v>8</v>
      </c>
      <c r="B73" s="32"/>
      <c r="C73" s="114">
        <v>26475.0</v>
      </c>
      <c r="F73" s="110"/>
    </row>
    <row r="74">
      <c r="A74" s="33" t="s">
        <v>89</v>
      </c>
      <c r="B74" s="32"/>
      <c r="C74" s="115">
        <f>round(C72*C73,0)</f>
        <v>353641666</v>
      </c>
    </row>
    <row r="75">
      <c r="A75" s="33" t="s">
        <v>90</v>
      </c>
      <c r="B75" s="32"/>
      <c r="C75" s="115">
        <f>round(C74*10%,0)</f>
        <v>35364167</v>
      </c>
    </row>
    <row r="76">
      <c r="A76" s="33" t="s">
        <v>91</v>
      </c>
      <c r="B76" s="32"/>
      <c r="C76" s="115">
        <f>C74+C75</f>
        <v>389005833</v>
      </c>
      <c r="F76" s="110"/>
    </row>
    <row r="79">
      <c r="F79" s="110"/>
    </row>
    <row r="82">
      <c r="F82" s="110"/>
    </row>
    <row r="85">
      <c r="F85" s="110"/>
    </row>
    <row r="88">
      <c r="F88" s="110"/>
    </row>
  </sheetData>
  <mergeCells count="24">
    <mergeCell ref="A16:B16"/>
    <mergeCell ref="A17:B17"/>
    <mergeCell ref="A18:B18"/>
    <mergeCell ref="A19:B19"/>
    <mergeCell ref="A20:B20"/>
    <mergeCell ref="A21:B21"/>
    <mergeCell ref="A22:B22"/>
    <mergeCell ref="A23:B23"/>
    <mergeCell ref="A43:B43"/>
    <mergeCell ref="A44:B44"/>
    <mergeCell ref="A45:B45"/>
    <mergeCell ref="A46:B46"/>
    <mergeCell ref="A47:B47"/>
    <mergeCell ref="A48:B48"/>
    <mergeCell ref="A74:B74"/>
    <mergeCell ref="A75:B75"/>
    <mergeCell ref="A76:B76"/>
    <mergeCell ref="A49:B49"/>
    <mergeCell ref="A50:B50"/>
    <mergeCell ref="A69:B69"/>
    <mergeCell ref="A70:B70"/>
    <mergeCell ref="A71:B71"/>
    <mergeCell ref="A72:B72"/>
    <mergeCell ref="A73:B73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50.38"/>
    <col customWidth="1" min="3" max="3" width="11.75"/>
    <col customWidth="1" min="4" max="4" width="20.63"/>
    <col customWidth="1" min="6" max="6" width="18.88"/>
  </cols>
  <sheetData>
    <row r="1">
      <c r="A1" s="52" t="s">
        <v>92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93</v>
      </c>
      <c r="C4" s="55">
        <v>45689.0</v>
      </c>
      <c r="D4" s="22">
        <v>166.72</v>
      </c>
      <c r="E4" s="56"/>
      <c r="F4" s="28"/>
    </row>
    <row r="5">
      <c r="A5" s="30" t="s">
        <v>21</v>
      </c>
      <c r="B5" s="31"/>
      <c r="C5" s="32"/>
      <c r="D5" s="24">
        <f>round(D4*(1+5.26%),2)</f>
        <v>175.49</v>
      </c>
      <c r="E5" s="57"/>
      <c r="F5" s="28"/>
    </row>
    <row r="6">
      <c r="A6" s="30" t="s">
        <v>24</v>
      </c>
      <c r="B6" s="31"/>
      <c r="C6" s="32"/>
      <c r="D6" s="24">
        <f>round(D5*10%,2)</f>
        <v>17.55</v>
      </c>
      <c r="E6" s="57"/>
      <c r="F6" s="28"/>
    </row>
    <row r="7">
      <c r="A7" s="33" t="s">
        <v>9</v>
      </c>
      <c r="B7" s="31"/>
      <c r="C7" s="32"/>
      <c r="D7" s="39">
        <f>D5-D6</f>
        <v>157.94</v>
      </c>
      <c r="E7" s="90">
        <v>25735.0</v>
      </c>
      <c r="F7" s="41">
        <f>round(D7*E7,0)</f>
        <v>4064586</v>
      </c>
    </row>
    <row r="8">
      <c r="A8" s="33" t="s">
        <v>26</v>
      </c>
      <c r="B8" s="31"/>
      <c r="C8" s="32"/>
      <c r="D8" s="39"/>
      <c r="E8" s="90"/>
      <c r="F8" s="41">
        <f>round(F7*10%,0)</f>
        <v>406459</v>
      </c>
    </row>
    <row r="9">
      <c r="A9" s="33" t="s">
        <v>16</v>
      </c>
      <c r="B9" s="31"/>
      <c r="C9" s="32"/>
      <c r="D9" s="39"/>
      <c r="E9" s="90"/>
      <c r="F9" s="41">
        <f>F7+F8</f>
        <v>4471045</v>
      </c>
    </row>
    <row r="13">
      <c r="A13" s="52" t="s">
        <v>92</v>
      </c>
    </row>
    <row r="14">
      <c r="A14" s="53"/>
      <c r="B14" s="53"/>
      <c r="C14" s="53"/>
      <c r="D14" s="53"/>
      <c r="E14" s="53"/>
      <c r="F14" s="53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>
      <c r="A16" s="13">
        <v>1.0</v>
      </c>
      <c r="B16" s="54" t="s">
        <v>93</v>
      </c>
      <c r="C16" s="55">
        <v>45717.0</v>
      </c>
      <c r="D16" s="22">
        <v>173.15</v>
      </c>
      <c r="E16" s="56"/>
      <c r="F16" s="28"/>
    </row>
    <row r="17">
      <c r="A17" s="30" t="s">
        <v>21</v>
      </c>
      <c r="B17" s="31"/>
      <c r="C17" s="32"/>
      <c r="D17" s="24">
        <f>round(D16*(1+5.26%),2)</f>
        <v>182.26</v>
      </c>
      <c r="E17" s="57"/>
      <c r="F17" s="28"/>
    </row>
    <row r="18">
      <c r="A18" s="30" t="s">
        <v>24</v>
      </c>
      <c r="B18" s="31"/>
      <c r="C18" s="32"/>
      <c r="D18" s="24">
        <f>round(D17*10%,2)</f>
        <v>18.23</v>
      </c>
      <c r="E18" s="57"/>
      <c r="F18" s="28"/>
    </row>
    <row r="19">
      <c r="A19" s="33" t="s">
        <v>9</v>
      </c>
      <c r="B19" s="31"/>
      <c r="C19" s="32"/>
      <c r="D19" s="39">
        <f>D17-D18</f>
        <v>164.03</v>
      </c>
      <c r="E19" s="90">
        <v>25775.0</v>
      </c>
      <c r="F19" s="41">
        <f>round(D19*E19,0)</f>
        <v>4227873</v>
      </c>
    </row>
    <row r="20">
      <c r="A20" s="33" t="s">
        <v>26</v>
      </c>
      <c r="B20" s="31"/>
      <c r="C20" s="32"/>
      <c r="D20" s="39"/>
      <c r="E20" s="90"/>
      <c r="F20" s="41">
        <f>round(F19*10%,0)</f>
        <v>422787</v>
      </c>
    </row>
    <row r="21">
      <c r="A21" s="33" t="s">
        <v>16</v>
      </c>
      <c r="B21" s="31"/>
      <c r="C21" s="32"/>
      <c r="D21" s="39"/>
      <c r="E21" s="90"/>
      <c r="F21" s="41">
        <f>F19+F20</f>
        <v>4650660</v>
      </c>
    </row>
    <row r="25">
      <c r="A25" s="52" t="s">
        <v>92</v>
      </c>
    </row>
    <row r="26">
      <c r="A26" s="53"/>
      <c r="B26" s="53"/>
      <c r="C26" s="53"/>
      <c r="D26" s="53"/>
      <c r="E26" s="53"/>
      <c r="F26" s="53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</row>
    <row r="28">
      <c r="A28" s="13">
        <v>1.0</v>
      </c>
      <c r="B28" s="54" t="s">
        <v>93</v>
      </c>
      <c r="C28" s="55">
        <v>45748.0</v>
      </c>
      <c r="D28" s="22">
        <v>214.9</v>
      </c>
      <c r="E28" s="56"/>
      <c r="F28" s="28"/>
    </row>
    <row r="29">
      <c r="A29" s="30" t="s">
        <v>21</v>
      </c>
      <c r="B29" s="31"/>
      <c r="C29" s="32"/>
      <c r="D29" s="24">
        <f>round(D28*(1+5.26%),2)</f>
        <v>226.2</v>
      </c>
      <c r="E29" s="57"/>
      <c r="F29" s="28"/>
    </row>
    <row r="30">
      <c r="A30" s="30" t="s">
        <v>24</v>
      </c>
      <c r="B30" s="31"/>
      <c r="C30" s="32"/>
      <c r="D30" s="24">
        <f>round(D29*10%,2)</f>
        <v>22.62</v>
      </c>
      <c r="E30" s="57"/>
      <c r="F30" s="28"/>
    </row>
    <row r="31">
      <c r="A31" s="33" t="s">
        <v>9</v>
      </c>
      <c r="B31" s="31"/>
      <c r="C31" s="32"/>
      <c r="D31" s="39">
        <f>D29-D30</f>
        <v>203.58</v>
      </c>
      <c r="E31" s="90">
        <v>26190.0</v>
      </c>
      <c r="F31" s="41">
        <f>round(D31*E31,0)</f>
        <v>5331760</v>
      </c>
    </row>
    <row r="32">
      <c r="A32" s="33" t="s">
        <v>26</v>
      </c>
      <c r="B32" s="31"/>
      <c r="C32" s="32"/>
      <c r="D32" s="39"/>
      <c r="E32" s="90"/>
      <c r="F32" s="41">
        <f>round(F31*10%,0)</f>
        <v>533176</v>
      </c>
    </row>
    <row r="33">
      <c r="A33" s="33" t="s">
        <v>16</v>
      </c>
      <c r="B33" s="31"/>
      <c r="C33" s="32"/>
      <c r="D33" s="39"/>
      <c r="E33" s="90"/>
      <c r="F33" s="41">
        <f>F31+F32</f>
        <v>5864936</v>
      </c>
    </row>
    <row r="37">
      <c r="A37" s="52" t="s">
        <v>92</v>
      </c>
    </row>
    <row r="38">
      <c r="A38" s="53"/>
      <c r="B38" s="53"/>
      <c r="C38" s="53"/>
      <c r="D38" s="53"/>
      <c r="E38" s="53"/>
      <c r="F38" s="53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</row>
    <row r="40">
      <c r="A40" s="13">
        <v>1.0</v>
      </c>
      <c r="B40" s="54" t="s">
        <v>93</v>
      </c>
      <c r="C40" s="55">
        <v>45778.0</v>
      </c>
      <c r="D40" s="22">
        <v>392.18</v>
      </c>
      <c r="E40" s="56"/>
      <c r="F40" s="28"/>
    </row>
    <row r="41">
      <c r="A41" s="30" t="s">
        <v>21</v>
      </c>
      <c r="B41" s="31"/>
      <c r="C41" s="32"/>
      <c r="D41" s="24">
        <f>round(D40*(1+5.26%),2)</f>
        <v>412.81</v>
      </c>
      <c r="E41" s="57"/>
      <c r="F41" s="28"/>
    </row>
    <row r="42">
      <c r="A42" s="30" t="s">
        <v>24</v>
      </c>
      <c r="B42" s="31"/>
      <c r="C42" s="32"/>
      <c r="D42" s="24">
        <f>round(D41*10%,2)</f>
        <v>41.28</v>
      </c>
      <c r="E42" s="57"/>
      <c r="F42" s="28"/>
    </row>
    <row r="43">
      <c r="A43" s="33" t="s">
        <v>9</v>
      </c>
      <c r="B43" s="31"/>
      <c r="C43" s="32"/>
      <c r="D43" s="39">
        <f>D41-D42</f>
        <v>371.53</v>
      </c>
      <c r="E43" s="90">
        <v>26225.0</v>
      </c>
      <c r="F43" s="41">
        <f>round(D43*E43,0)</f>
        <v>9743374</v>
      </c>
    </row>
    <row r="44">
      <c r="A44" s="33" t="s">
        <v>26</v>
      </c>
      <c r="B44" s="31"/>
      <c r="C44" s="32"/>
      <c r="D44" s="39"/>
      <c r="E44" s="90"/>
      <c r="F44" s="41">
        <f>round(F43*10%,0)</f>
        <v>974337</v>
      </c>
    </row>
    <row r="45">
      <c r="A45" s="33" t="s">
        <v>16</v>
      </c>
      <c r="B45" s="31"/>
      <c r="C45" s="32"/>
      <c r="D45" s="39"/>
      <c r="E45" s="90"/>
      <c r="F45" s="41">
        <f>F43+F44</f>
        <v>10717711</v>
      </c>
    </row>
    <row r="49">
      <c r="A49" s="52" t="s">
        <v>92</v>
      </c>
    </row>
    <row r="50">
      <c r="A50" s="53"/>
      <c r="B50" s="53"/>
      <c r="C50" s="53"/>
      <c r="D50" s="53"/>
      <c r="E50" s="53"/>
      <c r="F50" s="53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</row>
    <row r="52">
      <c r="A52" s="13">
        <v>1.0</v>
      </c>
      <c r="B52" s="54" t="s">
        <v>93</v>
      </c>
      <c r="C52" s="55">
        <v>45809.0</v>
      </c>
      <c r="D52" s="22">
        <v>339.8</v>
      </c>
      <c r="E52" s="56"/>
      <c r="F52" s="28"/>
    </row>
    <row r="53">
      <c r="A53" s="30" t="s">
        <v>21</v>
      </c>
      <c r="B53" s="31"/>
      <c r="C53" s="32"/>
      <c r="D53" s="24">
        <f>round(D52*(1+5.26%),2)</f>
        <v>357.67</v>
      </c>
      <c r="E53" s="57"/>
      <c r="F53" s="28"/>
    </row>
    <row r="54">
      <c r="A54" s="30" t="s">
        <v>24</v>
      </c>
      <c r="B54" s="31"/>
      <c r="C54" s="32"/>
      <c r="D54" s="24">
        <f>round(D53*10%,2)</f>
        <v>35.77</v>
      </c>
      <c r="E54" s="57"/>
      <c r="F54" s="28"/>
    </row>
    <row r="55">
      <c r="A55" s="33" t="s">
        <v>9</v>
      </c>
      <c r="B55" s="31"/>
      <c r="C55" s="32"/>
      <c r="D55" s="39">
        <f>D53-D54</f>
        <v>321.9</v>
      </c>
      <c r="E55" s="90">
        <v>26300.0</v>
      </c>
      <c r="F55" s="41">
        <f>round(D55*E55,0)</f>
        <v>8465970</v>
      </c>
    </row>
    <row r="56">
      <c r="A56" s="33" t="s">
        <v>26</v>
      </c>
      <c r="B56" s="31"/>
      <c r="C56" s="32"/>
      <c r="D56" s="39"/>
      <c r="E56" s="90"/>
      <c r="F56" s="41">
        <f>round(F55*10%,0)</f>
        <v>846597</v>
      </c>
    </row>
    <row r="57">
      <c r="A57" s="33" t="s">
        <v>16</v>
      </c>
      <c r="B57" s="31"/>
      <c r="C57" s="32"/>
      <c r="D57" s="39"/>
      <c r="E57" s="90"/>
      <c r="F57" s="41">
        <f>F55+F56</f>
        <v>9312567</v>
      </c>
    </row>
    <row r="61">
      <c r="A61" s="52" t="s">
        <v>92</v>
      </c>
    </row>
    <row r="62">
      <c r="A62" s="53"/>
      <c r="B62" s="53"/>
      <c r="C62" s="53"/>
      <c r="D62" s="53"/>
      <c r="E62" s="53"/>
      <c r="F62" s="53"/>
    </row>
    <row r="63">
      <c r="A63" s="9" t="s">
        <v>4</v>
      </c>
      <c r="B63" s="9" t="s">
        <v>5</v>
      </c>
      <c r="C63" s="9" t="s">
        <v>6</v>
      </c>
      <c r="D63" s="9" t="s">
        <v>7</v>
      </c>
      <c r="E63" s="9" t="s">
        <v>8</v>
      </c>
      <c r="F63" s="9" t="s">
        <v>9</v>
      </c>
    </row>
    <row r="64">
      <c r="A64" s="13">
        <v>1.0</v>
      </c>
      <c r="B64" s="54" t="s">
        <v>93</v>
      </c>
      <c r="C64" s="55">
        <v>45839.0</v>
      </c>
      <c r="D64" s="22">
        <v>273.05</v>
      </c>
      <c r="E64" s="56"/>
      <c r="F64" s="28"/>
    </row>
    <row r="65">
      <c r="A65" s="30" t="s">
        <v>32</v>
      </c>
      <c r="B65" s="31"/>
      <c r="C65" s="32"/>
      <c r="D65" s="24">
        <f>round(D64*(1+10%),2)</f>
        <v>300.36</v>
      </c>
      <c r="E65" s="57"/>
      <c r="F65" s="28"/>
    </row>
    <row r="66">
      <c r="A66" s="30" t="s">
        <v>24</v>
      </c>
      <c r="B66" s="31"/>
      <c r="C66" s="32"/>
      <c r="D66" s="24">
        <f>round(D65*10%,2)</f>
        <v>30.04</v>
      </c>
      <c r="E66" s="57"/>
      <c r="F66" s="28"/>
    </row>
    <row r="67">
      <c r="A67" s="33" t="s">
        <v>9</v>
      </c>
      <c r="B67" s="31"/>
      <c r="C67" s="32"/>
      <c r="D67" s="39">
        <f>D65-D66</f>
        <v>270.32</v>
      </c>
      <c r="E67" s="90">
        <v>26382.0</v>
      </c>
      <c r="F67" s="41">
        <f>round(D67*E67,0)</f>
        <v>7131582</v>
      </c>
    </row>
    <row r="68">
      <c r="A68" s="33" t="s">
        <v>26</v>
      </c>
      <c r="B68" s="31"/>
      <c r="C68" s="32"/>
      <c r="D68" s="39"/>
      <c r="E68" s="90"/>
      <c r="F68" s="41">
        <f>round(F67*10%,0)</f>
        <v>713158</v>
      </c>
    </row>
    <row r="69">
      <c r="A69" s="33" t="s">
        <v>16</v>
      </c>
      <c r="B69" s="31"/>
      <c r="C69" s="32"/>
      <c r="D69" s="39"/>
      <c r="E69" s="90"/>
      <c r="F69" s="41">
        <f>F67+F68</f>
        <v>7844740</v>
      </c>
    </row>
    <row r="74">
      <c r="A74" s="52" t="s">
        <v>92</v>
      </c>
    </row>
    <row r="75">
      <c r="A75" s="53"/>
      <c r="B75" s="53"/>
      <c r="C75" s="53"/>
      <c r="D75" s="53"/>
      <c r="E75" s="53"/>
      <c r="F75" s="53"/>
    </row>
    <row r="76">
      <c r="A76" s="9" t="s">
        <v>4</v>
      </c>
      <c r="B76" s="9" t="s">
        <v>5</v>
      </c>
      <c r="C76" s="9" t="s">
        <v>6</v>
      </c>
      <c r="D76" s="9" t="s">
        <v>7</v>
      </c>
      <c r="E76" s="9" t="s">
        <v>8</v>
      </c>
      <c r="F76" s="9" t="s">
        <v>9</v>
      </c>
    </row>
    <row r="77">
      <c r="A77" s="13">
        <v>1.0</v>
      </c>
      <c r="B77" s="54" t="s">
        <v>93</v>
      </c>
      <c r="C77" s="55">
        <v>45870.0</v>
      </c>
      <c r="D77" s="22">
        <v>231.2</v>
      </c>
      <c r="E77" s="56"/>
      <c r="F77" s="28"/>
    </row>
    <row r="78">
      <c r="A78" s="30" t="s">
        <v>32</v>
      </c>
      <c r="B78" s="31"/>
      <c r="C78" s="32"/>
      <c r="D78" s="24">
        <f>round(D77*(1+10%),2)</f>
        <v>254.32</v>
      </c>
      <c r="E78" s="57"/>
      <c r="F78" s="28"/>
    </row>
    <row r="79">
      <c r="A79" s="30" t="s">
        <v>24</v>
      </c>
      <c r="B79" s="31"/>
      <c r="C79" s="32"/>
      <c r="D79" s="24">
        <f>round(D78*10%,2)</f>
        <v>25.43</v>
      </c>
      <c r="E79" s="57"/>
      <c r="F79" s="28"/>
    </row>
    <row r="80">
      <c r="A80" s="33" t="s">
        <v>9</v>
      </c>
      <c r="B80" s="31"/>
      <c r="C80" s="32"/>
      <c r="D80" s="39">
        <f>D78-D79</f>
        <v>228.89</v>
      </c>
      <c r="E80" s="90">
        <v>26502.0</v>
      </c>
      <c r="F80" s="41">
        <f>round(D80*E80,0)</f>
        <v>6066043</v>
      </c>
    </row>
    <row r="81">
      <c r="A81" s="33" t="s">
        <v>26</v>
      </c>
      <c r="B81" s="31"/>
      <c r="C81" s="32"/>
      <c r="D81" s="39"/>
      <c r="E81" s="90"/>
      <c r="F81" s="41">
        <f>round(F80*10%,0)</f>
        <v>606604</v>
      </c>
    </row>
    <row r="82">
      <c r="A82" s="33" t="s">
        <v>16</v>
      </c>
      <c r="B82" s="31"/>
      <c r="C82" s="32"/>
      <c r="D82" s="39"/>
      <c r="E82" s="90"/>
      <c r="F82" s="41">
        <f>F80+F81</f>
        <v>6672647</v>
      </c>
    </row>
    <row r="88">
      <c r="A88" s="52" t="s">
        <v>92</v>
      </c>
    </row>
    <row r="89">
      <c r="A89" s="53"/>
      <c r="B89" s="53"/>
      <c r="C89" s="53"/>
      <c r="D89" s="53"/>
      <c r="E89" s="53"/>
      <c r="F89" s="53"/>
    </row>
    <row r="90">
      <c r="A90" s="9" t="s">
        <v>4</v>
      </c>
      <c r="B90" s="9" t="s">
        <v>5</v>
      </c>
      <c r="C90" s="9" t="s">
        <v>6</v>
      </c>
      <c r="D90" s="9" t="s">
        <v>7</v>
      </c>
      <c r="E90" s="9" t="s">
        <v>8</v>
      </c>
      <c r="F90" s="9" t="s">
        <v>9</v>
      </c>
    </row>
    <row r="91">
      <c r="A91" s="13">
        <v>1.0</v>
      </c>
      <c r="B91" s="54" t="s">
        <v>93</v>
      </c>
      <c r="C91" s="55">
        <v>45901.0</v>
      </c>
      <c r="D91" s="22">
        <v>231.2</v>
      </c>
      <c r="E91" s="56"/>
      <c r="F91" s="28"/>
    </row>
    <row r="92">
      <c r="A92" s="30" t="s">
        <v>32</v>
      </c>
      <c r="B92" s="31"/>
      <c r="C92" s="32"/>
      <c r="D92" s="24">
        <f>round(D91*(1+10%),2)</f>
        <v>254.32</v>
      </c>
      <c r="E92" s="57"/>
      <c r="F92" s="28"/>
    </row>
    <row r="93">
      <c r="A93" s="30" t="s">
        <v>24</v>
      </c>
      <c r="B93" s="31"/>
      <c r="C93" s="32"/>
      <c r="D93" s="24">
        <f>round(D92*10%,2)</f>
        <v>25.43</v>
      </c>
      <c r="E93" s="57"/>
      <c r="F93" s="28"/>
    </row>
    <row r="94">
      <c r="A94" s="33" t="s">
        <v>9</v>
      </c>
      <c r="B94" s="31"/>
      <c r="C94" s="32"/>
      <c r="D94" s="39">
        <f>D92-D93</f>
        <v>228.89</v>
      </c>
      <c r="E94" s="90">
        <v>26446.0</v>
      </c>
      <c r="F94" s="41">
        <f>round(D94*E94,0)</f>
        <v>6053225</v>
      </c>
    </row>
    <row r="95">
      <c r="A95" s="33" t="s">
        <v>26</v>
      </c>
      <c r="B95" s="31"/>
      <c r="C95" s="32"/>
      <c r="D95" s="39"/>
      <c r="E95" s="90"/>
      <c r="F95" s="41">
        <f>round(F94*10%,0)</f>
        <v>605323</v>
      </c>
    </row>
    <row r="96">
      <c r="A96" s="33" t="s">
        <v>16</v>
      </c>
      <c r="B96" s="31"/>
      <c r="C96" s="32"/>
      <c r="D96" s="39"/>
      <c r="E96" s="90"/>
      <c r="F96" s="41">
        <f>F94+F95</f>
        <v>6658548</v>
      </c>
    </row>
    <row r="102">
      <c r="A102" s="52" t="s">
        <v>92</v>
      </c>
    </row>
    <row r="103">
      <c r="A103" s="53"/>
      <c r="B103" s="53"/>
      <c r="C103" s="53"/>
      <c r="D103" s="53"/>
      <c r="E103" s="53"/>
      <c r="F103" s="53"/>
    </row>
    <row r="104">
      <c r="A104" s="9" t="s">
        <v>4</v>
      </c>
      <c r="B104" s="9" t="s">
        <v>5</v>
      </c>
      <c r="C104" s="9" t="s">
        <v>6</v>
      </c>
      <c r="D104" s="9" t="s">
        <v>7</v>
      </c>
      <c r="E104" s="9" t="s">
        <v>8</v>
      </c>
      <c r="F104" s="9" t="s">
        <v>9</v>
      </c>
    </row>
    <row r="105">
      <c r="A105" s="13">
        <v>1.0</v>
      </c>
      <c r="B105" s="54" t="s">
        <v>93</v>
      </c>
      <c r="C105" s="55">
        <v>45931.0</v>
      </c>
      <c r="D105" s="22">
        <v>231.2</v>
      </c>
      <c r="E105" s="56"/>
      <c r="F105" s="28"/>
    </row>
    <row r="106">
      <c r="A106" s="30" t="s">
        <v>32</v>
      </c>
      <c r="B106" s="31"/>
      <c r="C106" s="32"/>
      <c r="D106" s="24">
        <f>round(D105*(1+10%),2)</f>
        <v>254.32</v>
      </c>
      <c r="E106" s="57"/>
      <c r="F106" s="28"/>
    </row>
    <row r="107">
      <c r="A107" s="30" t="s">
        <v>24</v>
      </c>
      <c r="B107" s="31"/>
      <c r="C107" s="32"/>
      <c r="D107" s="24">
        <f>round(D106*10%,2)</f>
        <v>25.43</v>
      </c>
      <c r="E107" s="57"/>
      <c r="F107" s="28"/>
    </row>
    <row r="108">
      <c r="A108" s="33" t="s">
        <v>9</v>
      </c>
      <c r="B108" s="31"/>
      <c r="C108" s="32"/>
      <c r="D108" s="39">
        <f>D106-D107</f>
        <v>228.89</v>
      </c>
      <c r="E108" s="90">
        <v>26347.0</v>
      </c>
      <c r="F108" s="41">
        <f>round(D108*E108,0)</f>
        <v>6030565</v>
      </c>
    </row>
    <row r="109">
      <c r="A109" s="33" t="s">
        <v>26</v>
      </c>
      <c r="B109" s="31"/>
      <c r="C109" s="32"/>
      <c r="D109" s="39"/>
      <c r="E109" s="90"/>
      <c r="F109" s="41">
        <f>round(F108*10%,0)</f>
        <v>603057</v>
      </c>
    </row>
    <row r="110">
      <c r="A110" s="33" t="s">
        <v>16</v>
      </c>
      <c r="B110" s="31"/>
      <c r="C110" s="32"/>
      <c r="D110" s="39"/>
      <c r="E110" s="90"/>
      <c r="F110" s="41">
        <f>F108+F109</f>
        <v>6633622</v>
      </c>
    </row>
    <row r="115">
      <c r="A115" s="52" t="s">
        <v>92</v>
      </c>
    </row>
    <row r="116">
      <c r="A116" s="53"/>
      <c r="B116" s="53"/>
      <c r="C116" s="53"/>
      <c r="D116" s="53"/>
      <c r="E116" s="53"/>
      <c r="F116" s="53"/>
    </row>
    <row r="117">
      <c r="A117" s="9" t="s">
        <v>4</v>
      </c>
      <c r="B117" s="9" t="s">
        <v>5</v>
      </c>
      <c r="C117" s="9" t="s">
        <v>6</v>
      </c>
      <c r="D117" s="9" t="s">
        <v>7</v>
      </c>
      <c r="E117" s="9" t="s">
        <v>8</v>
      </c>
      <c r="F117" s="9" t="s">
        <v>9</v>
      </c>
    </row>
    <row r="118">
      <c r="A118" s="13">
        <v>1.0</v>
      </c>
      <c r="B118" s="54" t="s">
        <v>93</v>
      </c>
      <c r="C118" s="55">
        <v>45962.0</v>
      </c>
      <c r="D118" s="22">
        <v>264.66</v>
      </c>
      <c r="E118" s="56"/>
      <c r="F118" s="28"/>
    </row>
    <row r="119">
      <c r="A119" s="30" t="s">
        <v>32</v>
      </c>
      <c r="B119" s="31"/>
      <c r="C119" s="32"/>
      <c r="D119" s="24">
        <f>round(D118*(1+10%),2)</f>
        <v>291.13</v>
      </c>
      <c r="E119" s="57"/>
      <c r="F119" s="28"/>
    </row>
    <row r="120">
      <c r="A120" s="30" t="s">
        <v>24</v>
      </c>
      <c r="B120" s="31"/>
      <c r="C120" s="32"/>
      <c r="D120" s="24">
        <f>round(D119*10%,2)</f>
        <v>29.11</v>
      </c>
      <c r="E120" s="57"/>
      <c r="F120" s="28"/>
    </row>
    <row r="121">
      <c r="A121" s="33" t="s">
        <v>9</v>
      </c>
      <c r="B121" s="31"/>
      <c r="C121" s="32"/>
      <c r="D121" s="39">
        <f>D119-D120</f>
        <v>262.02</v>
      </c>
      <c r="E121" s="90">
        <v>26412.0</v>
      </c>
      <c r="F121" s="41">
        <f>round(D121*E121,0)</f>
        <v>6920472</v>
      </c>
    </row>
    <row r="122">
      <c r="A122" s="33" t="s">
        <v>26</v>
      </c>
      <c r="B122" s="31"/>
      <c r="C122" s="32"/>
      <c r="D122" s="39"/>
      <c r="E122" s="90"/>
      <c r="F122" s="41">
        <f>round(F121*10%,0)</f>
        <v>692047</v>
      </c>
    </row>
    <row r="123">
      <c r="A123" s="33" t="s">
        <v>16</v>
      </c>
      <c r="B123" s="31"/>
      <c r="C123" s="32"/>
      <c r="D123" s="39"/>
      <c r="E123" s="90"/>
      <c r="F123" s="41">
        <f>F121+F122</f>
        <v>7612519</v>
      </c>
    </row>
    <row r="129">
      <c r="A129" s="52" t="s">
        <v>92</v>
      </c>
    </row>
    <row r="130">
      <c r="A130" s="53"/>
      <c r="B130" s="53"/>
      <c r="C130" s="53"/>
      <c r="D130" s="53"/>
      <c r="E130" s="53"/>
      <c r="F130" s="53"/>
    </row>
    <row r="131">
      <c r="A131" s="9" t="s">
        <v>4</v>
      </c>
      <c r="B131" s="9" t="s">
        <v>5</v>
      </c>
      <c r="C131" s="9" t="s">
        <v>6</v>
      </c>
      <c r="D131" s="9" t="s">
        <v>7</v>
      </c>
      <c r="E131" s="9" t="s">
        <v>8</v>
      </c>
      <c r="F131" s="9" t="s">
        <v>9</v>
      </c>
    </row>
    <row r="132">
      <c r="A132" s="13">
        <v>1.0</v>
      </c>
      <c r="B132" s="54" t="s">
        <v>93</v>
      </c>
      <c r="C132" s="55">
        <v>45992.0</v>
      </c>
      <c r="D132" s="22">
        <v>253.31</v>
      </c>
      <c r="E132" s="56"/>
      <c r="F132" s="28"/>
    </row>
    <row r="133">
      <c r="A133" s="30" t="s">
        <v>32</v>
      </c>
      <c r="B133" s="31"/>
      <c r="C133" s="32"/>
      <c r="D133" s="24">
        <f>round(D132*(1+10%),2)</f>
        <v>278.64</v>
      </c>
      <c r="E133" s="57"/>
      <c r="F133" s="28"/>
    </row>
    <row r="134">
      <c r="A134" s="30" t="s">
        <v>24</v>
      </c>
      <c r="B134" s="31"/>
      <c r="C134" s="32"/>
      <c r="D134" s="24">
        <f>round(D133*10%,2)</f>
        <v>27.86</v>
      </c>
      <c r="E134" s="57"/>
      <c r="F134" s="28"/>
    </row>
    <row r="135">
      <c r="A135" s="33" t="s">
        <v>9</v>
      </c>
      <c r="B135" s="31"/>
      <c r="C135" s="32"/>
      <c r="D135" s="39">
        <f>D133-D134</f>
        <v>250.78</v>
      </c>
      <c r="E135" s="90">
        <v>26377.0</v>
      </c>
      <c r="F135" s="41">
        <f>round(D135*E135,0)</f>
        <v>6614824</v>
      </c>
    </row>
    <row r="136">
      <c r="A136" s="33" t="s">
        <v>26</v>
      </c>
      <c r="B136" s="31"/>
      <c r="C136" s="32"/>
      <c r="D136" s="39"/>
      <c r="E136" s="90"/>
      <c r="F136" s="41">
        <f>round(F135*10%,0)</f>
        <v>661482</v>
      </c>
    </row>
    <row r="137">
      <c r="A137" s="33" t="s">
        <v>16</v>
      </c>
      <c r="B137" s="31"/>
      <c r="C137" s="32"/>
      <c r="D137" s="39"/>
      <c r="E137" s="90"/>
      <c r="F137" s="41">
        <f>F135+F136</f>
        <v>7276306</v>
      </c>
    </row>
    <row r="143">
      <c r="A143" s="52" t="s">
        <v>92</v>
      </c>
    </row>
    <row r="144">
      <c r="A144" s="53"/>
      <c r="B144" s="53"/>
      <c r="C144" s="53"/>
      <c r="D144" s="53"/>
      <c r="E144" s="53"/>
      <c r="F144" s="53"/>
    </row>
    <row r="145">
      <c r="A145" s="9" t="s">
        <v>4</v>
      </c>
      <c r="B145" s="9" t="s">
        <v>5</v>
      </c>
      <c r="C145" s="9" t="s">
        <v>6</v>
      </c>
      <c r="D145" s="9" t="s">
        <v>7</v>
      </c>
      <c r="E145" s="9" t="s">
        <v>8</v>
      </c>
      <c r="F145" s="9" t="s">
        <v>9</v>
      </c>
    </row>
    <row r="146">
      <c r="A146" s="13">
        <v>1.0</v>
      </c>
      <c r="B146" s="54" t="s">
        <v>93</v>
      </c>
      <c r="C146" s="55">
        <v>46023.0</v>
      </c>
      <c r="D146" s="22">
        <v>253.8</v>
      </c>
      <c r="E146" s="56"/>
      <c r="F146" s="28"/>
    </row>
    <row r="147">
      <c r="A147" s="30" t="s">
        <v>32</v>
      </c>
      <c r="B147" s="31"/>
      <c r="C147" s="32"/>
      <c r="D147" s="24">
        <f>round(D146*(1+10%),2)</f>
        <v>279.18</v>
      </c>
      <c r="E147" s="57"/>
      <c r="F147" s="28"/>
    </row>
    <row r="148">
      <c r="A148" s="30" t="s">
        <v>24</v>
      </c>
      <c r="B148" s="31"/>
      <c r="C148" s="32"/>
      <c r="D148" s="24">
        <f>round(D147*10%,2)</f>
        <v>27.92</v>
      </c>
      <c r="E148" s="57"/>
      <c r="F148" s="28"/>
    </row>
    <row r="149">
      <c r="A149" s="33" t="s">
        <v>9</v>
      </c>
      <c r="B149" s="31"/>
      <c r="C149" s="32"/>
      <c r="D149" s="39">
        <f>D147-D148</f>
        <v>251.26</v>
      </c>
      <c r="E149" s="90">
        <v>26145.0</v>
      </c>
      <c r="F149" s="41">
        <f>round(D149*E149,0)</f>
        <v>6569193</v>
      </c>
    </row>
    <row r="150">
      <c r="A150" s="33" t="s">
        <v>26</v>
      </c>
      <c r="B150" s="31"/>
      <c r="C150" s="32"/>
      <c r="D150" s="39"/>
      <c r="E150" s="90"/>
      <c r="F150" s="41">
        <f>round(F149*10%,0)</f>
        <v>656919</v>
      </c>
    </row>
    <row r="151">
      <c r="A151" s="33" t="s">
        <v>16</v>
      </c>
      <c r="B151" s="31"/>
      <c r="C151" s="32"/>
      <c r="D151" s="39"/>
      <c r="E151" s="90"/>
      <c r="F151" s="41">
        <f>F149+F150</f>
        <v>7226112</v>
      </c>
    </row>
    <row r="157">
      <c r="A157" s="52" t="s">
        <v>92</v>
      </c>
    </row>
    <row r="158">
      <c r="A158" s="53"/>
      <c r="B158" s="53"/>
      <c r="C158" s="53"/>
      <c r="D158" s="53"/>
      <c r="E158" s="53"/>
      <c r="F158" s="53"/>
    </row>
    <row r="159">
      <c r="A159" s="9" t="s">
        <v>4</v>
      </c>
      <c r="B159" s="9" t="s">
        <v>5</v>
      </c>
      <c r="C159" s="9" t="s">
        <v>6</v>
      </c>
      <c r="D159" s="9" t="s">
        <v>7</v>
      </c>
      <c r="E159" s="9" t="s">
        <v>8</v>
      </c>
      <c r="F159" s="9" t="s">
        <v>9</v>
      </c>
    </row>
    <row r="160">
      <c r="A160" s="13">
        <v>1.0</v>
      </c>
      <c r="B160" s="54" t="s">
        <v>93</v>
      </c>
      <c r="C160" s="55">
        <v>46054.0</v>
      </c>
      <c r="D160" s="22">
        <v>208.21</v>
      </c>
      <c r="E160" s="56"/>
      <c r="F160" s="28"/>
    </row>
    <row r="161">
      <c r="A161" s="30" t="s">
        <v>32</v>
      </c>
      <c r="B161" s="31"/>
      <c r="C161" s="32"/>
      <c r="D161" s="24">
        <f>round(D160*(1+10%),2)</f>
        <v>229.03</v>
      </c>
      <c r="E161" s="57"/>
      <c r="F161" s="28"/>
    </row>
    <row r="162">
      <c r="A162" s="30" t="s">
        <v>24</v>
      </c>
      <c r="B162" s="31"/>
      <c r="C162" s="32"/>
      <c r="D162" s="24">
        <f>round(D161*10%,2)</f>
        <v>22.9</v>
      </c>
      <c r="E162" s="57"/>
      <c r="F162" s="28"/>
    </row>
    <row r="163">
      <c r="A163" s="33" t="s">
        <v>9</v>
      </c>
      <c r="B163" s="31"/>
      <c r="C163" s="32"/>
      <c r="D163" s="39">
        <f>D161-D162</f>
        <v>206.13</v>
      </c>
      <c r="E163" s="90">
        <v>26240.0</v>
      </c>
      <c r="F163" s="41">
        <f>round(D163*E163,0)</f>
        <v>5408851</v>
      </c>
    </row>
    <row r="164">
      <c r="A164" s="33" t="s">
        <v>26</v>
      </c>
      <c r="B164" s="31"/>
      <c r="C164" s="32"/>
      <c r="D164" s="39"/>
      <c r="E164" s="90"/>
      <c r="F164" s="41">
        <f>round(F163*10%,0)</f>
        <v>540885</v>
      </c>
    </row>
    <row r="165">
      <c r="A165" s="33" t="s">
        <v>16</v>
      </c>
      <c r="B165" s="31"/>
      <c r="C165" s="32"/>
      <c r="D165" s="39"/>
      <c r="E165" s="90"/>
      <c r="F165" s="41">
        <f>F163+F164</f>
        <v>5949736</v>
      </c>
    </row>
    <row r="171">
      <c r="A171" s="52" t="s">
        <v>92</v>
      </c>
    </row>
    <row r="172">
      <c r="A172" s="53"/>
      <c r="B172" s="53"/>
      <c r="C172" s="53"/>
      <c r="D172" s="53"/>
      <c r="E172" s="53"/>
      <c r="F172" s="53"/>
    </row>
    <row r="173">
      <c r="A173" s="9" t="s">
        <v>4</v>
      </c>
      <c r="B173" s="9" t="s">
        <v>5</v>
      </c>
      <c r="C173" s="9" t="s">
        <v>6</v>
      </c>
      <c r="D173" s="9" t="s">
        <v>7</v>
      </c>
      <c r="E173" s="9" t="s">
        <v>8</v>
      </c>
      <c r="F173" s="9" t="s">
        <v>9</v>
      </c>
    </row>
    <row r="174">
      <c r="A174" s="13">
        <v>1.0</v>
      </c>
      <c r="B174" s="54" t="s">
        <v>93</v>
      </c>
      <c r="C174" s="55">
        <v>46082.0</v>
      </c>
      <c r="D174" s="22">
        <v>144.4</v>
      </c>
      <c r="E174" s="56"/>
      <c r="F174" s="28"/>
    </row>
    <row r="175">
      <c r="A175" s="30" t="s">
        <v>32</v>
      </c>
      <c r="B175" s="31"/>
      <c r="C175" s="32"/>
      <c r="D175" s="24">
        <f>round(D174*(1+10%),2)</f>
        <v>158.84</v>
      </c>
      <c r="E175" s="57"/>
      <c r="F175" s="28"/>
    </row>
    <row r="176">
      <c r="A176" s="30" t="s">
        <v>24</v>
      </c>
      <c r="B176" s="31"/>
      <c r="C176" s="32"/>
      <c r="D176" s="24">
        <f>round(D175*10%,2)</f>
        <v>15.88</v>
      </c>
      <c r="E176" s="57"/>
      <c r="F176" s="28"/>
    </row>
    <row r="177">
      <c r="A177" s="33" t="s">
        <v>9</v>
      </c>
      <c r="B177" s="31"/>
      <c r="C177" s="32"/>
      <c r="D177" s="39">
        <f>D175-D176</f>
        <v>142.96</v>
      </c>
      <c r="E177" s="90">
        <v>26357.0</v>
      </c>
      <c r="F177" s="41">
        <f>round(D177*E177,0)</f>
        <v>3767997</v>
      </c>
    </row>
    <row r="178">
      <c r="A178" s="33" t="s">
        <v>26</v>
      </c>
      <c r="B178" s="31"/>
      <c r="C178" s="32"/>
      <c r="D178" s="39"/>
      <c r="E178" s="90"/>
      <c r="F178" s="41">
        <f>round(F177*10%,0)</f>
        <v>376800</v>
      </c>
    </row>
    <row r="179">
      <c r="A179" s="33" t="s">
        <v>16</v>
      </c>
      <c r="B179" s="31"/>
      <c r="C179" s="32"/>
      <c r="D179" s="39"/>
      <c r="E179" s="90"/>
      <c r="F179" s="41">
        <f>F177+F178</f>
        <v>4144797</v>
      </c>
    </row>
    <row r="185">
      <c r="A185" s="52" t="s">
        <v>92</v>
      </c>
    </row>
    <row r="186">
      <c r="A186" s="53"/>
      <c r="B186" s="53"/>
      <c r="C186" s="53"/>
      <c r="D186" s="53"/>
      <c r="E186" s="53"/>
      <c r="F186" s="53"/>
    </row>
    <row r="187">
      <c r="A187" s="9" t="s">
        <v>4</v>
      </c>
      <c r="B187" s="9" t="s">
        <v>5</v>
      </c>
      <c r="C187" s="9" t="s">
        <v>6</v>
      </c>
      <c r="D187" s="9" t="s">
        <v>7</v>
      </c>
      <c r="E187" s="9" t="s">
        <v>8</v>
      </c>
      <c r="F187" s="9" t="s">
        <v>9</v>
      </c>
    </row>
    <row r="188">
      <c r="A188" s="13">
        <v>1.0</v>
      </c>
      <c r="B188" s="54" t="s">
        <v>93</v>
      </c>
      <c r="C188" s="55">
        <v>46113.0</v>
      </c>
      <c r="D188" s="22">
        <v>137.8</v>
      </c>
      <c r="E188" s="56"/>
      <c r="F188" s="28"/>
    </row>
    <row r="189">
      <c r="A189" s="30" t="s">
        <v>32</v>
      </c>
      <c r="B189" s="31"/>
      <c r="C189" s="32"/>
      <c r="D189" s="24">
        <f>round(D188*(1+10%),2)</f>
        <v>151.58</v>
      </c>
      <c r="E189" s="57"/>
      <c r="F189" s="28"/>
    </row>
    <row r="190">
      <c r="A190" s="30" t="s">
        <v>24</v>
      </c>
      <c r="B190" s="31"/>
      <c r="C190" s="32"/>
      <c r="D190" s="24">
        <f>round(D189*10%,2)</f>
        <v>15.16</v>
      </c>
      <c r="E190" s="57"/>
      <c r="F190" s="28"/>
    </row>
    <row r="191">
      <c r="A191" s="33" t="s">
        <v>9</v>
      </c>
      <c r="B191" s="31"/>
      <c r="C191" s="32"/>
      <c r="D191" s="39">
        <f>D189-D190</f>
        <v>136.42</v>
      </c>
      <c r="E191" s="90">
        <v>26368.0</v>
      </c>
      <c r="F191" s="41">
        <f>round(D191*E191,0)</f>
        <v>3597123</v>
      </c>
    </row>
    <row r="192">
      <c r="A192" s="33" t="s">
        <v>26</v>
      </c>
      <c r="B192" s="31"/>
      <c r="C192" s="32"/>
      <c r="D192" s="39"/>
      <c r="E192" s="90"/>
      <c r="F192" s="41">
        <f>round(F191*10%,0)</f>
        <v>359712</v>
      </c>
    </row>
    <row r="193">
      <c r="A193" s="33" t="s">
        <v>16</v>
      </c>
      <c r="B193" s="31"/>
      <c r="C193" s="32"/>
      <c r="D193" s="39"/>
      <c r="E193" s="90"/>
      <c r="F193" s="41">
        <f>F191+F192</f>
        <v>3956835</v>
      </c>
    </row>
    <row r="199">
      <c r="A199" s="52" t="s">
        <v>92</v>
      </c>
    </row>
    <row r="200">
      <c r="A200" s="53"/>
      <c r="B200" s="53"/>
      <c r="C200" s="53"/>
      <c r="D200" s="53"/>
      <c r="E200" s="53"/>
      <c r="F200" s="53"/>
    </row>
    <row r="201">
      <c r="A201" s="9" t="s">
        <v>4</v>
      </c>
      <c r="B201" s="9" t="s">
        <v>5</v>
      </c>
      <c r="C201" s="9" t="s">
        <v>6</v>
      </c>
      <c r="D201" s="9" t="s">
        <v>7</v>
      </c>
      <c r="E201" s="9" t="s">
        <v>8</v>
      </c>
      <c r="F201" s="9" t="s">
        <v>9</v>
      </c>
    </row>
    <row r="202">
      <c r="A202" s="13">
        <v>1.0</v>
      </c>
      <c r="B202" s="54" t="s">
        <v>93</v>
      </c>
      <c r="C202" s="55">
        <v>46143.0</v>
      </c>
      <c r="D202" s="22">
        <v>137.8</v>
      </c>
      <c r="E202" s="56"/>
      <c r="F202" s="28"/>
    </row>
    <row r="203">
      <c r="A203" s="30" t="s">
        <v>32</v>
      </c>
      <c r="B203" s="31"/>
      <c r="C203" s="32"/>
      <c r="D203" s="24">
        <f>round(D202*(1+10%),2)</f>
        <v>151.58</v>
      </c>
      <c r="E203" s="57"/>
      <c r="F203" s="28"/>
    </row>
    <row r="204">
      <c r="A204" s="30" t="s">
        <v>24</v>
      </c>
      <c r="B204" s="31"/>
      <c r="C204" s="32"/>
      <c r="D204" s="24">
        <f>round(D203*10%,2)</f>
        <v>15.16</v>
      </c>
      <c r="E204" s="57"/>
      <c r="F204" s="28"/>
    </row>
    <row r="205">
      <c r="A205" s="33" t="s">
        <v>9</v>
      </c>
      <c r="B205" s="31"/>
      <c r="C205" s="32"/>
      <c r="D205" s="39">
        <f>D203-D204</f>
        <v>136.42</v>
      </c>
      <c r="E205" s="90">
        <v>26395.0</v>
      </c>
      <c r="F205" s="41">
        <f>round(D205*E205,0)</f>
        <v>3600806</v>
      </c>
    </row>
    <row r="206">
      <c r="A206" s="33" t="s">
        <v>26</v>
      </c>
      <c r="B206" s="31"/>
      <c r="C206" s="32"/>
      <c r="D206" s="39"/>
      <c r="E206" s="90"/>
      <c r="F206" s="41">
        <f>round(F205*10%,0)</f>
        <v>360081</v>
      </c>
    </row>
    <row r="207">
      <c r="A207" s="33" t="s">
        <v>16</v>
      </c>
      <c r="B207" s="31"/>
      <c r="C207" s="32"/>
      <c r="D207" s="39"/>
      <c r="E207" s="90"/>
      <c r="F207" s="41">
        <f>F205+F206</f>
        <v>3960887</v>
      </c>
    </row>
    <row r="212">
      <c r="A212" s="52" t="s">
        <v>92</v>
      </c>
    </row>
    <row r="213">
      <c r="A213" s="53"/>
      <c r="B213" s="53"/>
      <c r="C213" s="53"/>
      <c r="D213" s="53"/>
      <c r="E213" s="53"/>
      <c r="F213" s="53"/>
    </row>
    <row r="214">
      <c r="A214" s="9" t="s">
        <v>4</v>
      </c>
      <c r="B214" s="9" t="s">
        <v>5</v>
      </c>
      <c r="C214" s="9" t="s">
        <v>6</v>
      </c>
      <c r="D214" s="9" t="s">
        <v>7</v>
      </c>
      <c r="E214" s="9" t="s">
        <v>8</v>
      </c>
      <c r="F214" s="9" t="s">
        <v>9</v>
      </c>
    </row>
    <row r="215">
      <c r="A215" s="13">
        <v>1.0</v>
      </c>
      <c r="B215" s="54" t="s">
        <v>93</v>
      </c>
      <c r="C215" s="55">
        <v>46174.0</v>
      </c>
      <c r="D215" s="22">
        <v>137.8</v>
      </c>
      <c r="E215" s="56"/>
      <c r="F215" s="28"/>
    </row>
    <row r="216">
      <c r="A216" s="30" t="s">
        <v>32</v>
      </c>
      <c r="B216" s="31"/>
      <c r="C216" s="32"/>
      <c r="D216" s="24">
        <f>round(D215*(1+10%),2)</f>
        <v>151.58</v>
      </c>
      <c r="E216" s="57"/>
      <c r="F216" s="28"/>
    </row>
    <row r="217">
      <c r="A217" s="30" t="s">
        <v>24</v>
      </c>
      <c r="B217" s="31"/>
      <c r="C217" s="32"/>
      <c r="D217" s="24">
        <f>round(D216*10%,2)</f>
        <v>15.16</v>
      </c>
      <c r="E217" s="57"/>
      <c r="F217" s="28"/>
    </row>
    <row r="218">
      <c r="A218" s="33" t="s">
        <v>9</v>
      </c>
      <c r="B218" s="31"/>
      <c r="C218" s="32"/>
      <c r="D218" s="39">
        <f>D216-D217</f>
        <v>136.42</v>
      </c>
      <c r="E218" s="90">
        <v>26466.0</v>
      </c>
      <c r="F218" s="41">
        <f>round(D218*E218,0)</f>
        <v>3610492</v>
      </c>
    </row>
    <row r="219">
      <c r="A219" s="33" t="s">
        <v>26</v>
      </c>
      <c r="B219" s="31"/>
      <c r="C219" s="32"/>
      <c r="D219" s="39"/>
      <c r="E219" s="90"/>
      <c r="F219" s="41">
        <f>round(F218*10%,0)</f>
        <v>361049</v>
      </c>
    </row>
    <row r="220">
      <c r="A220" s="33" t="s">
        <v>16</v>
      </c>
      <c r="B220" s="31"/>
      <c r="C220" s="32"/>
      <c r="D220" s="39"/>
      <c r="E220" s="90"/>
      <c r="F220" s="41">
        <f>F218+F219</f>
        <v>3971541</v>
      </c>
    </row>
    <row r="226">
      <c r="A226" s="52" t="s">
        <v>92</v>
      </c>
    </row>
    <row r="227">
      <c r="A227" s="53"/>
      <c r="B227" s="53"/>
      <c r="C227" s="53"/>
      <c r="D227" s="53"/>
      <c r="E227" s="53"/>
      <c r="F227" s="53"/>
    </row>
    <row r="228">
      <c r="A228" s="9" t="s">
        <v>4</v>
      </c>
      <c r="B228" s="9" t="s">
        <v>5</v>
      </c>
      <c r="C228" s="9" t="s">
        <v>6</v>
      </c>
      <c r="D228" s="9" t="s">
        <v>7</v>
      </c>
      <c r="E228" s="9" t="s">
        <v>8</v>
      </c>
      <c r="F228" s="9" t="s">
        <v>9</v>
      </c>
    </row>
    <row r="229">
      <c r="A229" s="13">
        <v>1.0</v>
      </c>
      <c r="B229" s="54" t="s">
        <v>93</v>
      </c>
      <c r="C229" s="55">
        <v>46204.0</v>
      </c>
      <c r="D229" s="22">
        <v>137.8</v>
      </c>
      <c r="E229" s="56"/>
      <c r="F229" s="28"/>
    </row>
    <row r="230">
      <c r="A230" s="30" t="s">
        <v>32</v>
      </c>
      <c r="B230" s="31"/>
      <c r="C230" s="32"/>
      <c r="D230" s="24">
        <f>round(D229*(1+10%),2)</f>
        <v>151.58</v>
      </c>
      <c r="E230" s="57"/>
      <c r="F230" s="28"/>
    </row>
    <row r="231">
      <c r="A231" s="30" t="s">
        <v>24</v>
      </c>
      <c r="B231" s="31"/>
      <c r="C231" s="32"/>
      <c r="D231" s="24">
        <f>round(D230*10%,2)</f>
        <v>15.16</v>
      </c>
      <c r="E231" s="57"/>
      <c r="F231" s="28"/>
    </row>
    <row r="232">
      <c r="A232" s="33" t="s">
        <v>9</v>
      </c>
      <c r="B232" s="31"/>
      <c r="C232" s="32"/>
      <c r="D232" s="39">
        <f>D230-D231</f>
        <v>136.42</v>
      </c>
      <c r="E232" s="90">
        <v>26475.0</v>
      </c>
      <c r="F232" s="41">
        <f>round(D232*E232,0)</f>
        <v>3611720</v>
      </c>
    </row>
    <row r="233">
      <c r="A233" s="33" t="s">
        <v>26</v>
      </c>
      <c r="B233" s="31"/>
      <c r="C233" s="32"/>
      <c r="D233" s="39"/>
      <c r="E233" s="90"/>
      <c r="F233" s="41">
        <f>round(F232*10%,0)</f>
        <v>361172</v>
      </c>
    </row>
    <row r="234">
      <c r="A234" s="33" t="s">
        <v>16</v>
      </c>
      <c r="B234" s="31"/>
      <c r="C234" s="32"/>
      <c r="D234" s="39"/>
      <c r="E234" s="90"/>
      <c r="F234" s="41">
        <f>F232+F233</f>
        <v>3972892</v>
      </c>
    </row>
  </sheetData>
  <mergeCells count="108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49:F49"/>
    <mergeCell ref="A53:C53"/>
    <mergeCell ref="A54:C54"/>
    <mergeCell ref="A55:C55"/>
    <mergeCell ref="A56:C56"/>
    <mergeCell ref="A57:C57"/>
    <mergeCell ref="A61:F61"/>
    <mergeCell ref="A65:C65"/>
    <mergeCell ref="A66:C66"/>
    <mergeCell ref="A67:C67"/>
    <mergeCell ref="A68:C68"/>
    <mergeCell ref="A69:C69"/>
    <mergeCell ref="A74:F74"/>
    <mergeCell ref="A78:C78"/>
    <mergeCell ref="A79:C79"/>
    <mergeCell ref="A80:C80"/>
    <mergeCell ref="A81:C81"/>
    <mergeCell ref="A82:C82"/>
    <mergeCell ref="A88:F88"/>
    <mergeCell ref="A92:C92"/>
    <mergeCell ref="A93:C93"/>
    <mergeCell ref="A94:C94"/>
    <mergeCell ref="A95:C95"/>
    <mergeCell ref="A96:C96"/>
    <mergeCell ref="A102:F102"/>
    <mergeCell ref="A203:C203"/>
    <mergeCell ref="A204:C204"/>
    <mergeCell ref="A205:C205"/>
    <mergeCell ref="A206:C206"/>
    <mergeCell ref="A207:C207"/>
    <mergeCell ref="A212:F212"/>
    <mergeCell ref="A216:C216"/>
    <mergeCell ref="A217:C217"/>
    <mergeCell ref="A218:C218"/>
    <mergeCell ref="A219:C219"/>
    <mergeCell ref="A220:C220"/>
    <mergeCell ref="A226:F226"/>
    <mergeCell ref="A230:C230"/>
    <mergeCell ref="A231:C231"/>
    <mergeCell ref="A106:C106"/>
    <mergeCell ref="A107:C107"/>
    <mergeCell ref="A108:C108"/>
    <mergeCell ref="A109:C109"/>
    <mergeCell ref="A110:C110"/>
    <mergeCell ref="A115:F115"/>
    <mergeCell ref="A119:C119"/>
    <mergeCell ref="A120:C120"/>
    <mergeCell ref="A121:C121"/>
    <mergeCell ref="A122:C122"/>
    <mergeCell ref="A123:C123"/>
    <mergeCell ref="A129:F129"/>
    <mergeCell ref="A133:C133"/>
    <mergeCell ref="A134:C134"/>
    <mergeCell ref="A135:C135"/>
    <mergeCell ref="A136:C136"/>
    <mergeCell ref="A137:C137"/>
    <mergeCell ref="A143:F143"/>
    <mergeCell ref="A147:C147"/>
    <mergeCell ref="A148:C148"/>
    <mergeCell ref="A149:C149"/>
    <mergeCell ref="A150:C150"/>
    <mergeCell ref="A151:C151"/>
    <mergeCell ref="A157:F157"/>
    <mergeCell ref="A161:C161"/>
    <mergeCell ref="A162:C162"/>
    <mergeCell ref="A163:C163"/>
    <mergeCell ref="A164:C164"/>
    <mergeCell ref="A165:C165"/>
    <mergeCell ref="A171:F171"/>
    <mergeCell ref="A175:C175"/>
    <mergeCell ref="A176:C176"/>
    <mergeCell ref="A177:C177"/>
    <mergeCell ref="A178:C178"/>
    <mergeCell ref="A179:C179"/>
    <mergeCell ref="A185:F185"/>
    <mergeCell ref="A189:C189"/>
    <mergeCell ref="A190:C190"/>
    <mergeCell ref="A191:C191"/>
    <mergeCell ref="A192:C192"/>
    <mergeCell ref="A193:C193"/>
    <mergeCell ref="A199:F199"/>
    <mergeCell ref="A232:C232"/>
    <mergeCell ref="A233:C233"/>
    <mergeCell ref="A234:C23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13"/>
    <col customWidth="1" min="2" max="2" width="45.63"/>
    <col customWidth="1" min="3" max="3" width="12.13"/>
    <col customWidth="1" min="4" max="4" width="19.5"/>
    <col customWidth="1" min="5" max="5" width="10.25"/>
    <col customWidth="1" min="6" max="6" width="21.38"/>
  </cols>
  <sheetData>
    <row r="1">
      <c r="A1" s="52" t="s">
        <v>98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99</v>
      </c>
      <c r="C4" s="55">
        <v>45689.0</v>
      </c>
      <c r="D4" s="22">
        <v>275.28</v>
      </c>
      <c r="E4" s="56"/>
      <c r="F4" s="28"/>
    </row>
    <row r="5">
      <c r="A5" s="30" t="s">
        <v>21</v>
      </c>
      <c r="B5" s="31"/>
      <c r="C5" s="32"/>
      <c r="D5" s="24">
        <f>round(D4*(1+5.26%),2)</f>
        <v>289.76</v>
      </c>
      <c r="E5" s="57"/>
      <c r="F5" s="28"/>
    </row>
    <row r="6">
      <c r="A6" s="30" t="s">
        <v>24</v>
      </c>
      <c r="B6" s="31"/>
      <c r="C6" s="32"/>
      <c r="D6" s="24">
        <f>round(D5*10%,2)</f>
        <v>28.98</v>
      </c>
      <c r="E6" s="57"/>
      <c r="F6" s="28"/>
    </row>
    <row r="7">
      <c r="A7" s="33" t="s">
        <v>9</v>
      </c>
      <c r="B7" s="31"/>
      <c r="C7" s="32"/>
      <c r="D7" s="39">
        <f>D5-D6</f>
        <v>260.78</v>
      </c>
      <c r="E7" s="90">
        <v>25735.0</v>
      </c>
      <c r="F7" s="41">
        <f>round(D7*E7,0)</f>
        <v>6711173</v>
      </c>
    </row>
    <row r="8">
      <c r="A8" s="33" t="s">
        <v>26</v>
      </c>
      <c r="B8" s="31"/>
      <c r="C8" s="32"/>
      <c r="D8" s="39"/>
      <c r="E8" s="90"/>
      <c r="F8" s="41">
        <f>round(F7*10%,0)</f>
        <v>671117</v>
      </c>
    </row>
    <row r="9">
      <c r="A9" s="33" t="s">
        <v>16</v>
      </c>
      <c r="B9" s="31"/>
      <c r="C9" s="32"/>
      <c r="D9" s="39"/>
      <c r="E9" s="90"/>
      <c r="F9" s="41">
        <f>F7+F8</f>
        <v>7382290</v>
      </c>
    </row>
    <row r="13">
      <c r="A13" s="52" t="s">
        <v>98</v>
      </c>
    </row>
    <row r="14">
      <c r="A14" s="53"/>
      <c r="B14" s="53"/>
      <c r="C14" s="53"/>
      <c r="D14" s="53"/>
      <c r="E14" s="53"/>
      <c r="F14" s="53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>
      <c r="A16" s="13">
        <v>1.0</v>
      </c>
      <c r="B16" s="54" t="s">
        <v>99</v>
      </c>
      <c r="C16" s="55">
        <v>45717.0</v>
      </c>
      <c r="D16" s="22">
        <v>293.12</v>
      </c>
      <c r="E16" s="56"/>
      <c r="F16" s="28"/>
    </row>
    <row r="17">
      <c r="A17" s="30" t="s">
        <v>21</v>
      </c>
      <c r="B17" s="31"/>
      <c r="C17" s="32"/>
      <c r="D17" s="24">
        <f>round(D16*(1+5.26%),2)</f>
        <v>308.54</v>
      </c>
      <c r="E17" s="57"/>
      <c r="F17" s="28"/>
    </row>
    <row r="18">
      <c r="A18" s="30" t="s">
        <v>24</v>
      </c>
      <c r="B18" s="31"/>
      <c r="C18" s="32"/>
      <c r="D18" s="24">
        <f>round(D17*10%,2)</f>
        <v>30.85</v>
      </c>
      <c r="E18" s="57"/>
      <c r="F18" s="28"/>
    </row>
    <row r="19">
      <c r="A19" s="33" t="s">
        <v>9</v>
      </c>
      <c r="B19" s="31"/>
      <c r="C19" s="32"/>
      <c r="D19" s="39">
        <f>D17-D18</f>
        <v>277.69</v>
      </c>
      <c r="E19" s="90">
        <v>25775.0</v>
      </c>
      <c r="F19" s="41">
        <f>round(D19*E19,0)</f>
        <v>7157460</v>
      </c>
    </row>
    <row r="20">
      <c r="A20" s="33" t="s">
        <v>26</v>
      </c>
      <c r="B20" s="31"/>
      <c r="C20" s="32"/>
      <c r="D20" s="39"/>
      <c r="E20" s="90"/>
      <c r="F20" s="41">
        <f>round(F19*10%,0)</f>
        <v>715746</v>
      </c>
    </row>
    <row r="21">
      <c r="A21" s="33" t="s">
        <v>16</v>
      </c>
      <c r="B21" s="31"/>
      <c r="C21" s="32"/>
      <c r="D21" s="39"/>
      <c r="E21" s="90"/>
      <c r="F21" s="41">
        <f>F19+F20</f>
        <v>7873206</v>
      </c>
    </row>
    <row r="25">
      <c r="A25" s="52" t="s">
        <v>98</v>
      </c>
    </row>
    <row r="26">
      <c r="A26" s="53"/>
      <c r="B26" s="53"/>
      <c r="C26" s="53"/>
      <c r="D26" s="53"/>
      <c r="E26" s="53"/>
      <c r="F26" s="53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</row>
    <row r="28">
      <c r="A28" s="13">
        <v>1.0</v>
      </c>
      <c r="B28" s="54" t="s">
        <v>99</v>
      </c>
      <c r="C28" s="55">
        <v>45748.0</v>
      </c>
      <c r="D28" s="22">
        <v>395.73</v>
      </c>
      <c r="E28" s="56"/>
      <c r="F28" s="28"/>
    </row>
    <row r="29">
      <c r="A29" s="30" t="s">
        <v>21</v>
      </c>
      <c r="B29" s="31"/>
      <c r="C29" s="32"/>
      <c r="D29" s="24">
        <f>round(D28*(1+5.26%),2)</f>
        <v>416.55</v>
      </c>
      <c r="E29" s="57"/>
      <c r="F29" s="28"/>
    </row>
    <row r="30">
      <c r="A30" s="30" t="s">
        <v>24</v>
      </c>
      <c r="B30" s="31"/>
      <c r="C30" s="32"/>
      <c r="D30" s="24">
        <f>round(D29*10%,2)</f>
        <v>41.66</v>
      </c>
      <c r="E30" s="57"/>
      <c r="F30" s="28"/>
    </row>
    <row r="31">
      <c r="A31" s="33" t="s">
        <v>9</v>
      </c>
      <c r="B31" s="31"/>
      <c r="C31" s="32"/>
      <c r="D31" s="39">
        <f>D29-D30</f>
        <v>374.89</v>
      </c>
      <c r="E31" s="90">
        <v>26190.0</v>
      </c>
      <c r="F31" s="41">
        <f>round(D31*E31,0)</f>
        <v>9818369</v>
      </c>
    </row>
    <row r="32">
      <c r="A32" s="33" t="s">
        <v>26</v>
      </c>
      <c r="B32" s="31"/>
      <c r="C32" s="32"/>
      <c r="D32" s="39"/>
      <c r="E32" s="90"/>
      <c r="F32" s="41">
        <f>round(F31*10%,0)</f>
        <v>981837</v>
      </c>
    </row>
    <row r="33">
      <c r="A33" s="33" t="s">
        <v>16</v>
      </c>
      <c r="B33" s="31"/>
      <c r="C33" s="32"/>
      <c r="D33" s="39"/>
      <c r="E33" s="90"/>
      <c r="F33" s="41">
        <f>F31+F32</f>
        <v>10800206</v>
      </c>
    </row>
    <row r="37">
      <c r="A37" s="52" t="s">
        <v>98</v>
      </c>
    </row>
    <row r="38">
      <c r="A38" s="53"/>
      <c r="B38" s="53"/>
      <c r="C38" s="53"/>
      <c r="D38" s="53"/>
      <c r="E38" s="53"/>
      <c r="F38" s="53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</row>
    <row r="40">
      <c r="A40" s="13">
        <v>1.0</v>
      </c>
      <c r="B40" s="54" t="s">
        <v>99</v>
      </c>
      <c r="C40" s="55">
        <v>45778.0</v>
      </c>
      <c r="D40" s="22">
        <v>337.82</v>
      </c>
      <c r="E40" s="56"/>
      <c r="F40" s="28"/>
    </row>
    <row r="41">
      <c r="A41" s="30" t="s">
        <v>21</v>
      </c>
      <c r="B41" s="31"/>
      <c r="C41" s="32"/>
      <c r="D41" s="24">
        <f>round(D40*(1+5.26%),2)</f>
        <v>355.59</v>
      </c>
      <c r="E41" s="57"/>
      <c r="F41" s="28"/>
    </row>
    <row r="42">
      <c r="A42" s="30" t="s">
        <v>24</v>
      </c>
      <c r="B42" s="31"/>
      <c r="C42" s="32"/>
      <c r="D42" s="24">
        <f>round(D41*10%,2)</f>
        <v>35.56</v>
      </c>
      <c r="E42" s="57"/>
      <c r="F42" s="28"/>
    </row>
    <row r="43">
      <c r="A43" s="33" t="s">
        <v>9</v>
      </c>
      <c r="B43" s="31"/>
      <c r="C43" s="32"/>
      <c r="D43" s="39">
        <f>D41-D42</f>
        <v>320.03</v>
      </c>
      <c r="E43" s="90">
        <v>26225.0</v>
      </c>
      <c r="F43" s="41">
        <f>round(D43*E43,0)</f>
        <v>8392787</v>
      </c>
    </row>
    <row r="44">
      <c r="A44" s="33" t="s">
        <v>26</v>
      </c>
      <c r="B44" s="31"/>
      <c r="C44" s="32"/>
      <c r="D44" s="39"/>
      <c r="E44" s="90"/>
      <c r="F44" s="41">
        <f>round(F43*10%,0)</f>
        <v>839279</v>
      </c>
    </row>
    <row r="45">
      <c r="A45" s="33" t="s">
        <v>16</v>
      </c>
      <c r="B45" s="31"/>
      <c r="C45" s="32"/>
      <c r="D45" s="39"/>
      <c r="E45" s="90"/>
      <c r="F45" s="41">
        <f>F43+F44</f>
        <v>9232066</v>
      </c>
    </row>
    <row r="49">
      <c r="A49" s="52" t="s">
        <v>98</v>
      </c>
    </row>
    <row r="50">
      <c r="A50" s="53"/>
      <c r="B50" s="53"/>
      <c r="C50" s="53"/>
      <c r="D50" s="53"/>
      <c r="E50" s="53"/>
      <c r="F50" s="53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</row>
    <row r="52">
      <c r="A52" s="13">
        <v>1.0</v>
      </c>
      <c r="B52" s="54" t="s">
        <v>99</v>
      </c>
      <c r="C52" s="55">
        <v>45809.0</v>
      </c>
      <c r="D52" s="22">
        <v>305.47</v>
      </c>
      <c r="E52" s="56"/>
      <c r="F52" s="28"/>
    </row>
    <row r="53">
      <c r="A53" s="30" t="s">
        <v>21</v>
      </c>
      <c r="B53" s="31"/>
      <c r="C53" s="32"/>
      <c r="D53" s="24">
        <f>round(D52*(1+5.26%),2)</f>
        <v>321.54</v>
      </c>
      <c r="E53" s="57"/>
      <c r="F53" s="28"/>
    </row>
    <row r="54">
      <c r="A54" s="30" t="s">
        <v>24</v>
      </c>
      <c r="B54" s="31"/>
      <c r="C54" s="32"/>
      <c r="D54" s="24">
        <f>round(D53*10%,2)</f>
        <v>32.15</v>
      </c>
      <c r="E54" s="57"/>
      <c r="F54" s="28"/>
    </row>
    <row r="55">
      <c r="A55" s="33" t="s">
        <v>9</v>
      </c>
      <c r="B55" s="31"/>
      <c r="C55" s="32"/>
      <c r="D55" s="39">
        <f>D53-D54</f>
        <v>289.39</v>
      </c>
      <c r="E55" s="90">
        <v>26300.0</v>
      </c>
      <c r="F55" s="41">
        <f>round(D55*E55,0)</f>
        <v>7610957</v>
      </c>
    </row>
    <row r="56">
      <c r="A56" s="33" t="s">
        <v>26</v>
      </c>
      <c r="B56" s="31"/>
      <c r="C56" s="32"/>
      <c r="D56" s="39"/>
      <c r="E56" s="90"/>
      <c r="F56" s="41">
        <f>round(F55*10%,0)</f>
        <v>761096</v>
      </c>
    </row>
    <row r="57">
      <c r="A57" s="33" t="s">
        <v>16</v>
      </c>
      <c r="B57" s="31"/>
      <c r="C57" s="32"/>
      <c r="D57" s="39"/>
      <c r="E57" s="90"/>
      <c r="F57" s="41">
        <f>F55+F56</f>
        <v>8372053</v>
      </c>
    </row>
    <row r="61">
      <c r="A61" s="52" t="s">
        <v>98</v>
      </c>
    </row>
    <row r="62">
      <c r="A62" s="53"/>
      <c r="B62" s="53"/>
      <c r="C62" s="53"/>
      <c r="D62" s="53"/>
      <c r="E62" s="53"/>
      <c r="F62" s="53"/>
    </row>
    <row r="63">
      <c r="A63" s="9" t="s">
        <v>4</v>
      </c>
      <c r="B63" s="9" t="s">
        <v>5</v>
      </c>
      <c r="C63" s="9" t="s">
        <v>6</v>
      </c>
      <c r="D63" s="9" t="s">
        <v>7</v>
      </c>
      <c r="E63" s="9" t="s">
        <v>8</v>
      </c>
      <c r="F63" s="9" t="s">
        <v>9</v>
      </c>
    </row>
    <row r="64">
      <c r="A64" s="13">
        <v>1.0</v>
      </c>
      <c r="B64" s="54" t="s">
        <v>99</v>
      </c>
      <c r="C64" s="55">
        <v>45839.0</v>
      </c>
      <c r="D64" s="22">
        <v>347.47</v>
      </c>
      <c r="E64" s="56"/>
      <c r="F64" s="28"/>
    </row>
    <row r="65">
      <c r="A65" s="30" t="s">
        <v>32</v>
      </c>
      <c r="B65" s="31"/>
      <c r="C65" s="32"/>
      <c r="D65" s="24">
        <f>round(D64*(1+10%),2)</f>
        <v>382.22</v>
      </c>
      <c r="E65" s="57"/>
      <c r="F65" s="28"/>
    </row>
    <row r="66">
      <c r="A66" s="30" t="s">
        <v>24</v>
      </c>
      <c r="B66" s="31"/>
      <c r="C66" s="32"/>
      <c r="D66" s="24">
        <f>round(D65*10%,2)</f>
        <v>38.22</v>
      </c>
      <c r="E66" s="57"/>
      <c r="F66" s="28"/>
    </row>
    <row r="67">
      <c r="A67" s="33" t="s">
        <v>9</v>
      </c>
      <c r="B67" s="31"/>
      <c r="C67" s="32"/>
      <c r="D67" s="39">
        <f>D65-D66</f>
        <v>344</v>
      </c>
      <c r="E67" s="90">
        <v>26382.0</v>
      </c>
      <c r="F67" s="41">
        <f>round(D67*E67,0)</f>
        <v>9075408</v>
      </c>
    </row>
    <row r="68">
      <c r="A68" s="33" t="s">
        <v>26</v>
      </c>
      <c r="B68" s="31"/>
      <c r="C68" s="32"/>
      <c r="D68" s="39"/>
      <c r="E68" s="90"/>
      <c r="F68" s="41">
        <f>round(F67*10%,0)</f>
        <v>907541</v>
      </c>
    </row>
    <row r="69">
      <c r="A69" s="33" t="s">
        <v>16</v>
      </c>
      <c r="B69" s="31"/>
      <c r="C69" s="32"/>
      <c r="D69" s="39"/>
      <c r="E69" s="90"/>
      <c r="F69" s="41">
        <f>F67+F68</f>
        <v>9982949</v>
      </c>
    </row>
    <row r="74">
      <c r="A74" s="52" t="s">
        <v>98</v>
      </c>
    </row>
    <row r="75">
      <c r="A75" s="53"/>
      <c r="B75" s="53"/>
      <c r="C75" s="53"/>
      <c r="D75" s="53"/>
      <c r="E75" s="53"/>
      <c r="F75" s="53"/>
    </row>
    <row r="76">
      <c r="A76" s="9" t="s">
        <v>4</v>
      </c>
      <c r="B76" s="9" t="s">
        <v>5</v>
      </c>
      <c r="C76" s="9" t="s">
        <v>6</v>
      </c>
      <c r="D76" s="9" t="s">
        <v>7</v>
      </c>
      <c r="E76" s="9" t="s">
        <v>8</v>
      </c>
      <c r="F76" s="9" t="s">
        <v>9</v>
      </c>
    </row>
    <row r="77">
      <c r="A77" s="13">
        <v>1.0</v>
      </c>
      <c r="B77" s="54" t="s">
        <v>99</v>
      </c>
      <c r="C77" s="55">
        <v>45870.0</v>
      </c>
      <c r="D77" s="22">
        <v>397.96</v>
      </c>
      <c r="E77" s="56"/>
      <c r="F77" s="28"/>
    </row>
    <row r="78">
      <c r="A78" s="30" t="s">
        <v>32</v>
      </c>
      <c r="B78" s="31"/>
      <c r="C78" s="32"/>
      <c r="D78" s="24">
        <f>round(D77*(1+10%),2)</f>
        <v>437.76</v>
      </c>
      <c r="E78" s="57"/>
      <c r="F78" s="28"/>
    </row>
    <row r="79">
      <c r="A79" s="30" t="s">
        <v>24</v>
      </c>
      <c r="B79" s="31"/>
      <c r="C79" s="32"/>
      <c r="D79" s="24">
        <f>round(D78*10%,2)</f>
        <v>43.78</v>
      </c>
      <c r="E79" s="57"/>
      <c r="F79" s="28"/>
    </row>
    <row r="80">
      <c r="A80" s="33" t="s">
        <v>9</v>
      </c>
      <c r="B80" s="31"/>
      <c r="C80" s="32"/>
      <c r="D80" s="39">
        <f>D78-D79</f>
        <v>393.98</v>
      </c>
      <c r="E80" s="90">
        <v>26502.0</v>
      </c>
      <c r="F80" s="41">
        <f>round(D80*E80,0)</f>
        <v>10441258</v>
      </c>
    </row>
    <row r="81">
      <c r="A81" s="33" t="s">
        <v>26</v>
      </c>
      <c r="B81" s="31"/>
      <c r="C81" s="32"/>
      <c r="D81" s="39"/>
      <c r="E81" s="90"/>
      <c r="F81" s="41">
        <f>round(F80*10%,0)</f>
        <v>1044126</v>
      </c>
    </row>
    <row r="82">
      <c r="A82" s="33" t="s">
        <v>16</v>
      </c>
      <c r="B82" s="31"/>
      <c r="C82" s="32"/>
      <c r="D82" s="39"/>
      <c r="E82" s="90"/>
      <c r="F82" s="41">
        <f>F80+F81</f>
        <v>11485384</v>
      </c>
    </row>
    <row r="87">
      <c r="A87" s="52" t="s">
        <v>98</v>
      </c>
    </row>
    <row r="88">
      <c r="A88" s="53"/>
      <c r="B88" s="53"/>
      <c r="C88" s="53"/>
      <c r="D88" s="53"/>
      <c r="E88" s="53"/>
      <c r="F88" s="53"/>
    </row>
    <row r="89">
      <c r="A89" s="9" t="s">
        <v>4</v>
      </c>
      <c r="B89" s="9" t="s">
        <v>5</v>
      </c>
      <c r="C89" s="9" t="s">
        <v>6</v>
      </c>
      <c r="D89" s="9" t="s">
        <v>7</v>
      </c>
      <c r="E89" s="9" t="s">
        <v>8</v>
      </c>
      <c r="F89" s="9" t="s">
        <v>9</v>
      </c>
    </row>
    <row r="90">
      <c r="A90" s="13">
        <v>1.0</v>
      </c>
      <c r="B90" s="54" t="s">
        <v>99</v>
      </c>
      <c r="C90" s="55">
        <v>45901.0</v>
      </c>
      <c r="D90" s="22">
        <v>581.84</v>
      </c>
      <c r="E90" s="56"/>
      <c r="F90" s="28"/>
    </row>
    <row r="91">
      <c r="A91" s="30" t="s">
        <v>32</v>
      </c>
      <c r="B91" s="31"/>
      <c r="C91" s="32"/>
      <c r="D91" s="24">
        <f>round(D90*(1+10%),2)</f>
        <v>640.02</v>
      </c>
      <c r="E91" s="57"/>
      <c r="F91" s="28"/>
    </row>
    <row r="92">
      <c r="A92" s="30" t="s">
        <v>24</v>
      </c>
      <c r="B92" s="31"/>
      <c r="C92" s="32"/>
      <c r="D92" s="24">
        <f>round(D91*10%,2)</f>
        <v>64</v>
      </c>
      <c r="E92" s="57"/>
      <c r="F92" s="28"/>
    </row>
    <row r="93">
      <c r="A93" s="33" t="s">
        <v>9</v>
      </c>
      <c r="B93" s="31"/>
      <c r="C93" s="32"/>
      <c r="D93" s="39">
        <f>D91-D92</f>
        <v>576.02</v>
      </c>
      <c r="E93" s="90">
        <v>26446.0</v>
      </c>
      <c r="F93" s="41">
        <f>round(D93*E93,0)</f>
        <v>15233425</v>
      </c>
    </row>
    <row r="94">
      <c r="A94" s="33" t="s">
        <v>26</v>
      </c>
      <c r="B94" s="31"/>
      <c r="C94" s="32"/>
      <c r="D94" s="39"/>
      <c r="E94" s="90"/>
      <c r="F94" s="41">
        <f>round(F93*10%,0)</f>
        <v>1523343</v>
      </c>
    </row>
    <row r="95">
      <c r="A95" s="33" t="s">
        <v>16</v>
      </c>
      <c r="B95" s="31"/>
      <c r="C95" s="32"/>
      <c r="D95" s="39"/>
      <c r="E95" s="90"/>
      <c r="F95" s="41">
        <f>F93+F94</f>
        <v>16756768</v>
      </c>
    </row>
    <row r="101">
      <c r="A101" s="52" t="s">
        <v>98</v>
      </c>
    </row>
    <row r="102">
      <c r="A102" s="53"/>
      <c r="B102" s="53"/>
      <c r="C102" s="53"/>
      <c r="D102" s="53"/>
      <c r="E102" s="53"/>
      <c r="F102" s="53"/>
    </row>
    <row r="103">
      <c r="A103" s="9" t="s">
        <v>4</v>
      </c>
      <c r="B103" s="9" t="s">
        <v>5</v>
      </c>
      <c r="C103" s="9" t="s">
        <v>6</v>
      </c>
      <c r="D103" s="9" t="s">
        <v>7</v>
      </c>
      <c r="E103" s="9" t="s">
        <v>8</v>
      </c>
      <c r="F103" s="9" t="s">
        <v>9</v>
      </c>
    </row>
    <row r="104">
      <c r="A104" s="13">
        <v>1.0</v>
      </c>
      <c r="B104" s="54" t="s">
        <v>99</v>
      </c>
      <c r="C104" s="55">
        <v>45931.0</v>
      </c>
      <c r="D104" s="22">
        <v>469.5</v>
      </c>
      <c r="E104" s="56"/>
      <c r="F104" s="28"/>
    </row>
    <row r="105">
      <c r="A105" s="30" t="s">
        <v>32</v>
      </c>
      <c r="B105" s="31"/>
      <c r="C105" s="32"/>
      <c r="D105" s="24">
        <f>round(D104*(1+10%),2)</f>
        <v>516.45</v>
      </c>
      <c r="E105" s="57"/>
      <c r="F105" s="28"/>
    </row>
    <row r="106">
      <c r="A106" s="30" t="s">
        <v>24</v>
      </c>
      <c r="B106" s="31"/>
      <c r="C106" s="32"/>
      <c r="D106" s="24">
        <f>round(D105*10%,2)</f>
        <v>51.65</v>
      </c>
      <c r="E106" s="57"/>
      <c r="F106" s="28"/>
    </row>
    <row r="107">
      <c r="A107" s="33" t="s">
        <v>9</v>
      </c>
      <c r="B107" s="31"/>
      <c r="C107" s="32"/>
      <c r="D107" s="39">
        <f>D105-D106</f>
        <v>464.8</v>
      </c>
      <c r="E107" s="90">
        <v>26347.0</v>
      </c>
      <c r="F107" s="41">
        <f>round(D107*E107,0)</f>
        <v>12246086</v>
      </c>
    </row>
    <row r="108">
      <c r="A108" s="33" t="s">
        <v>26</v>
      </c>
      <c r="B108" s="31"/>
      <c r="C108" s="32"/>
      <c r="D108" s="39"/>
      <c r="E108" s="90"/>
      <c r="F108" s="41">
        <f>round(F107*10%,0)</f>
        <v>1224609</v>
      </c>
    </row>
    <row r="109">
      <c r="A109" s="33" t="s">
        <v>16</v>
      </c>
      <c r="B109" s="31"/>
      <c r="C109" s="32"/>
      <c r="D109" s="39"/>
      <c r="E109" s="90"/>
      <c r="F109" s="41">
        <f>F107+F108</f>
        <v>13470695</v>
      </c>
    </row>
    <row r="114">
      <c r="A114" s="52" t="s">
        <v>98</v>
      </c>
    </row>
    <row r="115">
      <c r="A115" s="53"/>
      <c r="B115" s="53"/>
      <c r="C115" s="53"/>
      <c r="D115" s="53"/>
      <c r="E115" s="53"/>
      <c r="F115" s="53"/>
    </row>
    <row r="116">
      <c r="A116" s="9" t="s">
        <v>4</v>
      </c>
      <c r="B116" s="9" t="s">
        <v>5</v>
      </c>
      <c r="C116" s="9" t="s">
        <v>6</v>
      </c>
      <c r="D116" s="9" t="s">
        <v>7</v>
      </c>
      <c r="E116" s="9" t="s">
        <v>8</v>
      </c>
      <c r="F116" s="9" t="s">
        <v>9</v>
      </c>
    </row>
    <row r="117">
      <c r="A117" s="13">
        <v>1.0</v>
      </c>
      <c r="B117" s="54" t="s">
        <v>99</v>
      </c>
      <c r="C117" s="55">
        <v>45962.0</v>
      </c>
      <c r="D117" s="22">
        <v>207.65</v>
      </c>
      <c r="E117" s="56"/>
      <c r="F117" s="28"/>
    </row>
    <row r="118">
      <c r="A118" s="30" t="s">
        <v>32</v>
      </c>
      <c r="B118" s="31"/>
      <c r="C118" s="32"/>
      <c r="D118" s="24">
        <f>round(D117*(1+10%),2)</f>
        <v>228.42</v>
      </c>
      <c r="E118" s="57"/>
      <c r="F118" s="28"/>
    </row>
    <row r="119">
      <c r="A119" s="30" t="s">
        <v>24</v>
      </c>
      <c r="B119" s="31"/>
      <c r="C119" s="32"/>
      <c r="D119" s="24">
        <f>round(D118*10%,2)</f>
        <v>22.84</v>
      </c>
      <c r="E119" s="57"/>
      <c r="F119" s="28"/>
    </row>
    <row r="120">
      <c r="A120" s="33" t="s">
        <v>9</v>
      </c>
      <c r="B120" s="31"/>
      <c r="C120" s="32"/>
      <c r="D120" s="39">
        <f>D118-D119</f>
        <v>205.58</v>
      </c>
      <c r="E120" s="90">
        <v>26412.0</v>
      </c>
      <c r="F120" s="41">
        <f>round(D120*E120,0)</f>
        <v>5429779</v>
      </c>
    </row>
    <row r="121">
      <c r="A121" s="33" t="s">
        <v>26</v>
      </c>
      <c r="B121" s="31"/>
      <c r="C121" s="32"/>
      <c r="D121" s="39"/>
      <c r="E121" s="90"/>
      <c r="F121" s="41">
        <f>round(F120*10%,0)</f>
        <v>542978</v>
      </c>
    </row>
    <row r="122">
      <c r="A122" s="33" t="s">
        <v>16</v>
      </c>
      <c r="B122" s="31"/>
      <c r="C122" s="32"/>
      <c r="D122" s="39"/>
      <c r="E122" s="90"/>
      <c r="F122" s="41">
        <f>F120+F121</f>
        <v>5972757</v>
      </c>
    </row>
    <row r="128">
      <c r="A128" s="52" t="s">
        <v>98</v>
      </c>
    </row>
    <row r="129">
      <c r="A129" s="53"/>
      <c r="B129" s="53"/>
      <c r="C129" s="53"/>
      <c r="D129" s="53"/>
      <c r="E129" s="53"/>
      <c r="F129" s="53"/>
    </row>
    <row r="130">
      <c r="A130" s="9" t="s">
        <v>4</v>
      </c>
      <c r="B130" s="9" t="s">
        <v>5</v>
      </c>
      <c r="C130" s="9" t="s">
        <v>6</v>
      </c>
      <c r="D130" s="9" t="s">
        <v>7</v>
      </c>
      <c r="E130" s="9" t="s">
        <v>8</v>
      </c>
      <c r="F130" s="9" t="s">
        <v>9</v>
      </c>
    </row>
    <row r="131">
      <c r="A131" s="13">
        <v>1.0</v>
      </c>
      <c r="B131" s="54" t="s">
        <v>99</v>
      </c>
      <c r="C131" s="55">
        <v>45992.0</v>
      </c>
      <c r="D131" s="22">
        <v>284.11</v>
      </c>
      <c r="E131" s="56"/>
      <c r="F131" s="28"/>
    </row>
    <row r="132">
      <c r="A132" s="30" t="s">
        <v>32</v>
      </c>
      <c r="B132" s="31"/>
      <c r="C132" s="32"/>
      <c r="D132" s="24">
        <f>round(D131*(1+10%),2)</f>
        <v>312.52</v>
      </c>
      <c r="E132" s="57"/>
      <c r="F132" s="28"/>
    </row>
    <row r="133">
      <c r="A133" s="30" t="s">
        <v>24</v>
      </c>
      <c r="B133" s="31"/>
      <c r="C133" s="32"/>
      <c r="D133" s="24">
        <f>round(D132*10%,2)</f>
        <v>31.25</v>
      </c>
      <c r="E133" s="57"/>
      <c r="F133" s="28"/>
    </row>
    <row r="134">
      <c r="A134" s="33" t="s">
        <v>9</v>
      </c>
      <c r="B134" s="31"/>
      <c r="C134" s="32"/>
      <c r="D134" s="39">
        <f>D132-D133</f>
        <v>281.27</v>
      </c>
      <c r="E134" s="90">
        <v>26377.0</v>
      </c>
      <c r="F134" s="41">
        <f>round(D134*E134,0)</f>
        <v>7419059</v>
      </c>
    </row>
    <row r="135">
      <c r="A135" s="33" t="s">
        <v>26</v>
      </c>
      <c r="B135" s="31"/>
      <c r="C135" s="32"/>
      <c r="D135" s="39"/>
      <c r="E135" s="90"/>
      <c r="F135" s="41">
        <f>round(F134*10%,0)</f>
        <v>741906</v>
      </c>
    </row>
    <row r="136">
      <c r="A136" s="33" t="s">
        <v>16</v>
      </c>
      <c r="B136" s="31"/>
      <c r="C136" s="32"/>
      <c r="D136" s="39"/>
      <c r="E136" s="90"/>
      <c r="F136" s="41">
        <f>F134+F135</f>
        <v>8160965</v>
      </c>
    </row>
    <row r="142">
      <c r="A142" s="52" t="s">
        <v>98</v>
      </c>
    </row>
    <row r="143">
      <c r="A143" s="53"/>
      <c r="B143" s="53"/>
      <c r="C143" s="53"/>
      <c r="D143" s="53"/>
      <c r="E143" s="53"/>
      <c r="F143" s="53"/>
    </row>
    <row r="144">
      <c r="A144" s="9" t="s">
        <v>4</v>
      </c>
      <c r="B144" s="9" t="s">
        <v>5</v>
      </c>
      <c r="C144" s="9" t="s">
        <v>6</v>
      </c>
      <c r="D144" s="9" t="s">
        <v>7</v>
      </c>
      <c r="E144" s="9" t="s">
        <v>8</v>
      </c>
      <c r="F144" s="9" t="s">
        <v>9</v>
      </c>
    </row>
    <row r="145">
      <c r="A145" s="13">
        <v>1.0</v>
      </c>
      <c r="B145" s="54" t="s">
        <v>99</v>
      </c>
      <c r="C145" s="55">
        <v>46023.0</v>
      </c>
      <c r="D145" s="22">
        <v>370.57</v>
      </c>
      <c r="E145" s="56"/>
      <c r="F145" s="28"/>
    </row>
    <row r="146">
      <c r="A146" s="30" t="s">
        <v>32</v>
      </c>
      <c r="B146" s="31"/>
      <c r="C146" s="32"/>
      <c r="D146" s="24">
        <f>round(D145*(1+10%),2)</f>
        <v>407.63</v>
      </c>
      <c r="E146" s="57"/>
      <c r="F146" s="28"/>
    </row>
    <row r="147">
      <c r="A147" s="30" t="s">
        <v>24</v>
      </c>
      <c r="B147" s="31"/>
      <c r="C147" s="32"/>
      <c r="D147" s="24">
        <f>round(D146*10%,2)</f>
        <v>40.76</v>
      </c>
      <c r="E147" s="57"/>
      <c r="F147" s="28"/>
    </row>
    <row r="148">
      <c r="A148" s="33" t="s">
        <v>9</v>
      </c>
      <c r="B148" s="31"/>
      <c r="C148" s="32"/>
      <c r="D148" s="39">
        <f>D146-D147</f>
        <v>366.87</v>
      </c>
      <c r="E148" s="90">
        <v>26145.0</v>
      </c>
      <c r="F148" s="41">
        <f>round(D148*E148,0)</f>
        <v>9591816</v>
      </c>
    </row>
    <row r="149">
      <c r="A149" s="33" t="s">
        <v>26</v>
      </c>
      <c r="B149" s="31"/>
      <c r="C149" s="32"/>
      <c r="D149" s="39"/>
      <c r="E149" s="90"/>
      <c r="F149" s="41">
        <f>round(F148*10%,0)</f>
        <v>959182</v>
      </c>
    </row>
    <row r="150">
      <c r="A150" s="33" t="s">
        <v>16</v>
      </c>
      <c r="B150" s="31"/>
      <c r="C150" s="32"/>
      <c r="D150" s="39"/>
      <c r="E150" s="90"/>
      <c r="F150" s="41">
        <f>F148+F149</f>
        <v>10550998</v>
      </c>
    </row>
    <row r="155">
      <c r="A155" s="52" t="s">
        <v>98</v>
      </c>
    </row>
    <row r="156">
      <c r="A156" s="53"/>
      <c r="B156" s="53"/>
      <c r="C156" s="53"/>
      <c r="D156" s="53"/>
      <c r="E156" s="53"/>
      <c r="F156" s="53"/>
    </row>
    <row r="157">
      <c r="A157" s="9" t="s">
        <v>4</v>
      </c>
      <c r="B157" s="9" t="s">
        <v>5</v>
      </c>
      <c r="C157" s="9" t="s">
        <v>6</v>
      </c>
      <c r="D157" s="9" t="s">
        <v>7</v>
      </c>
      <c r="E157" s="9" t="s">
        <v>8</v>
      </c>
      <c r="F157" s="9" t="s">
        <v>9</v>
      </c>
    </row>
    <row r="158">
      <c r="A158" s="13">
        <v>1.0</v>
      </c>
      <c r="B158" s="54" t="s">
        <v>99</v>
      </c>
      <c r="C158" s="55">
        <v>46054.0</v>
      </c>
      <c r="D158" s="22">
        <v>367.02</v>
      </c>
      <c r="E158" s="56"/>
      <c r="F158" s="28"/>
    </row>
    <row r="159">
      <c r="A159" s="30" t="s">
        <v>32</v>
      </c>
      <c r="B159" s="31"/>
      <c r="C159" s="32"/>
      <c r="D159" s="24">
        <f>round(D158*(1+10%),2)</f>
        <v>403.72</v>
      </c>
      <c r="E159" s="57"/>
      <c r="F159" s="28"/>
    </row>
    <row r="160">
      <c r="A160" s="30" t="s">
        <v>24</v>
      </c>
      <c r="B160" s="31"/>
      <c r="C160" s="32"/>
      <c r="D160" s="24">
        <f>round(D159*10%,2)</f>
        <v>40.37</v>
      </c>
      <c r="E160" s="57"/>
      <c r="F160" s="28"/>
    </row>
    <row r="161">
      <c r="A161" s="33" t="s">
        <v>9</v>
      </c>
      <c r="B161" s="31"/>
      <c r="C161" s="32"/>
      <c r="D161" s="39">
        <f>D159-D160</f>
        <v>363.35</v>
      </c>
      <c r="E161" s="90">
        <v>26240.0</v>
      </c>
      <c r="F161" s="41">
        <f>round(D161*E161,0)</f>
        <v>9534304</v>
      </c>
    </row>
    <row r="162">
      <c r="A162" s="33" t="s">
        <v>26</v>
      </c>
      <c r="B162" s="31"/>
      <c r="C162" s="32"/>
      <c r="D162" s="39"/>
      <c r="E162" s="90"/>
      <c r="F162" s="41">
        <f>round(F161*10%,0)</f>
        <v>953430</v>
      </c>
    </row>
    <row r="163">
      <c r="A163" s="33" t="s">
        <v>16</v>
      </c>
      <c r="B163" s="31"/>
      <c r="C163" s="32"/>
      <c r="D163" s="39"/>
      <c r="E163" s="90"/>
      <c r="F163" s="41">
        <f>F161+F162</f>
        <v>10487734</v>
      </c>
    </row>
    <row r="169">
      <c r="A169" s="52" t="s">
        <v>98</v>
      </c>
    </row>
    <row r="170">
      <c r="A170" s="53"/>
      <c r="B170" s="53"/>
      <c r="C170" s="53"/>
      <c r="D170" s="53"/>
      <c r="E170" s="53"/>
      <c r="F170" s="53"/>
    </row>
    <row r="171">
      <c r="A171" s="9" t="s">
        <v>4</v>
      </c>
      <c r="B171" s="9" t="s">
        <v>5</v>
      </c>
      <c r="C171" s="9" t="s">
        <v>6</v>
      </c>
      <c r="D171" s="9" t="s">
        <v>7</v>
      </c>
      <c r="E171" s="9" t="s">
        <v>8</v>
      </c>
      <c r="F171" s="9" t="s">
        <v>9</v>
      </c>
    </row>
    <row r="172">
      <c r="A172" s="13">
        <v>1.0</v>
      </c>
      <c r="B172" s="54" t="s">
        <v>99</v>
      </c>
      <c r="C172" s="55">
        <v>46082.0</v>
      </c>
      <c r="D172" s="22">
        <v>411.79</v>
      </c>
      <c r="E172" s="56"/>
      <c r="F172" s="28"/>
    </row>
    <row r="173">
      <c r="A173" s="30" t="s">
        <v>32</v>
      </c>
      <c r="B173" s="31"/>
      <c r="C173" s="32"/>
      <c r="D173" s="24">
        <f>round(D172*(1+10%),2)</f>
        <v>452.97</v>
      </c>
      <c r="E173" s="57"/>
      <c r="F173" s="28"/>
    </row>
    <row r="174">
      <c r="A174" s="30" t="s">
        <v>24</v>
      </c>
      <c r="B174" s="31"/>
      <c r="C174" s="32"/>
      <c r="D174" s="24">
        <f>round(D173*10%,2)</f>
        <v>45.3</v>
      </c>
      <c r="E174" s="57"/>
      <c r="F174" s="28"/>
    </row>
    <row r="175">
      <c r="A175" s="33" t="s">
        <v>9</v>
      </c>
      <c r="B175" s="31"/>
      <c r="C175" s="32"/>
      <c r="D175" s="39">
        <f>D173-D174</f>
        <v>407.67</v>
      </c>
      <c r="E175" s="90">
        <v>26357.0</v>
      </c>
      <c r="F175" s="41">
        <f>round(D175*E175,0)</f>
        <v>10744958</v>
      </c>
    </row>
    <row r="176">
      <c r="A176" s="33" t="s">
        <v>26</v>
      </c>
      <c r="B176" s="31"/>
      <c r="C176" s="32"/>
      <c r="D176" s="39"/>
      <c r="E176" s="90"/>
      <c r="F176" s="41">
        <f>round(F175*10%,0)</f>
        <v>1074496</v>
      </c>
    </row>
    <row r="177">
      <c r="A177" s="33" t="s">
        <v>16</v>
      </c>
      <c r="B177" s="31"/>
      <c r="C177" s="32"/>
      <c r="D177" s="39"/>
      <c r="E177" s="90"/>
      <c r="F177" s="41">
        <f>F175+F176</f>
        <v>11819454</v>
      </c>
    </row>
    <row r="183">
      <c r="A183" s="52" t="s">
        <v>98</v>
      </c>
    </row>
    <row r="184">
      <c r="A184" s="53"/>
      <c r="B184" s="53"/>
      <c r="C184" s="53"/>
      <c r="D184" s="53"/>
      <c r="E184" s="53"/>
      <c r="F184" s="53"/>
    </row>
    <row r="185">
      <c r="A185" s="9" t="s">
        <v>4</v>
      </c>
      <c r="B185" s="9" t="s">
        <v>5</v>
      </c>
      <c r="C185" s="9" t="s">
        <v>6</v>
      </c>
      <c r="D185" s="9" t="s">
        <v>7</v>
      </c>
      <c r="E185" s="9" t="s">
        <v>8</v>
      </c>
      <c r="F185" s="9" t="s">
        <v>9</v>
      </c>
    </row>
    <row r="186">
      <c r="A186" s="13">
        <v>1.0</v>
      </c>
      <c r="B186" s="54" t="s">
        <v>99</v>
      </c>
      <c r="C186" s="55">
        <v>46113.0</v>
      </c>
      <c r="D186" s="22">
        <v>589.36</v>
      </c>
      <c r="E186" s="56"/>
      <c r="F186" s="28"/>
    </row>
    <row r="187">
      <c r="A187" s="30" t="s">
        <v>32</v>
      </c>
      <c r="B187" s="31"/>
      <c r="C187" s="32"/>
      <c r="D187" s="24">
        <f>round(D186*(1+10%),2)</f>
        <v>648.3</v>
      </c>
      <c r="E187" s="57"/>
      <c r="F187" s="28"/>
    </row>
    <row r="188">
      <c r="A188" s="30" t="s">
        <v>24</v>
      </c>
      <c r="B188" s="31"/>
      <c r="C188" s="32"/>
      <c r="D188" s="24">
        <f>round(D187*10%,2)</f>
        <v>64.83</v>
      </c>
      <c r="E188" s="57"/>
      <c r="F188" s="28"/>
    </row>
    <row r="189">
      <c r="A189" s="33" t="s">
        <v>9</v>
      </c>
      <c r="B189" s="31"/>
      <c r="C189" s="32"/>
      <c r="D189" s="39">
        <f>D187-D188</f>
        <v>583.47</v>
      </c>
      <c r="E189" s="90">
        <v>26368.0</v>
      </c>
      <c r="F189" s="41">
        <f>round(D189*E189,0)</f>
        <v>15384937</v>
      </c>
    </row>
    <row r="190">
      <c r="A190" s="33" t="s">
        <v>26</v>
      </c>
      <c r="B190" s="31"/>
      <c r="C190" s="32"/>
      <c r="D190" s="39"/>
      <c r="E190" s="90"/>
      <c r="F190" s="41">
        <f>round(F189*10%,0)</f>
        <v>1538494</v>
      </c>
    </row>
    <row r="191">
      <c r="A191" s="33" t="s">
        <v>16</v>
      </c>
      <c r="B191" s="31"/>
      <c r="C191" s="32"/>
      <c r="D191" s="39"/>
      <c r="E191" s="90"/>
      <c r="F191" s="41">
        <f>F189+F190</f>
        <v>16923431</v>
      </c>
    </row>
    <row r="196">
      <c r="A196" s="52" t="s">
        <v>98</v>
      </c>
    </row>
    <row r="197">
      <c r="A197" s="53"/>
      <c r="B197" s="53"/>
      <c r="C197" s="53"/>
      <c r="D197" s="53"/>
      <c r="E197" s="53"/>
      <c r="F197" s="53"/>
    </row>
    <row r="198">
      <c r="A198" s="9" t="s">
        <v>4</v>
      </c>
      <c r="B198" s="9" t="s">
        <v>5</v>
      </c>
      <c r="C198" s="9" t="s">
        <v>6</v>
      </c>
      <c r="D198" s="9" t="s">
        <v>7</v>
      </c>
      <c r="E198" s="9" t="s">
        <v>8</v>
      </c>
      <c r="F198" s="9" t="s">
        <v>9</v>
      </c>
    </row>
    <row r="199">
      <c r="A199" s="13">
        <v>1.0</v>
      </c>
      <c r="B199" s="54" t="s">
        <v>99</v>
      </c>
      <c r="C199" s="55">
        <v>46143.0</v>
      </c>
      <c r="D199" s="22">
        <v>625.87</v>
      </c>
      <c r="E199" s="56"/>
      <c r="F199" s="28"/>
    </row>
    <row r="200">
      <c r="A200" s="30" t="s">
        <v>32</v>
      </c>
      <c r="B200" s="31"/>
      <c r="C200" s="32"/>
      <c r="D200" s="24">
        <f>round(D199*(1+10%),2)</f>
        <v>688.46</v>
      </c>
      <c r="E200" s="57"/>
      <c r="F200" s="28"/>
    </row>
    <row r="201">
      <c r="A201" s="30" t="s">
        <v>24</v>
      </c>
      <c r="B201" s="31"/>
      <c r="C201" s="32"/>
      <c r="D201" s="24">
        <f>round(D200*10%,2)</f>
        <v>68.85</v>
      </c>
      <c r="E201" s="57"/>
      <c r="F201" s="28"/>
    </row>
    <row r="202">
      <c r="A202" s="33" t="s">
        <v>9</v>
      </c>
      <c r="B202" s="31"/>
      <c r="C202" s="32"/>
      <c r="D202" s="39">
        <f>D200-D201</f>
        <v>619.61</v>
      </c>
      <c r="E202" s="90">
        <v>26395.0</v>
      </c>
      <c r="F202" s="41">
        <f>round(D202*E202,0)</f>
        <v>16354606</v>
      </c>
    </row>
    <row r="203">
      <c r="A203" s="33" t="s">
        <v>26</v>
      </c>
      <c r="B203" s="31"/>
      <c r="C203" s="32"/>
      <c r="D203" s="39"/>
      <c r="E203" s="90"/>
      <c r="F203" s="41">
        <f>round(F202*10%,0)</f>
        <v>1635461</v>
      </c>
    </row>
    <row r="204">
      <c r="A204" s="33" t="s">
        <v>16</v>
      </c>
      <c r="B204" s="31"/>
      <c r="C204" s="32"/>
      <c r="D204" s="39"/>
      <c r="E204" s="90"/>
      <c r="F204" s="41">
        <f>F202+F203</f>
        <v>17990067</v>
      </c>
    </row>
    <row r="209">
      <c r="A209" s="52" t="s">
        <v>98</v>
      </c>
    </row>
    <row r="210">
      <c r="A210" s="53"/>
      <c r="B210" s="53"/>
      <c r="C210" s="53"/>
      <c r="D210" s="53"/>
      <c r="E210" s="53"/>
      <c r="F210" s="53"/>
    </row>
    <row r="211">
      <c r="A211" s="9" t="s">
        <v>4</v>
      </c>
      <c r="B211" s="9" t="s">
        <v>5</v>
      </c>
      <c r="C211" s="9" t="s">
        <v>6</v>
      </c>
      <c r="D211" s="9" t="s">
        <v>7</v>
      </c>
      <c r="E211" s="9" t="s">
        <v>8</v>
      </c>
      <c r="F211" s="9" t="s">
        <v>9</v>
      </c>
    </row>
    <row r="212">
      <c r="A212" s="13">
        <v>1.0</v>
      </c>
      <c r="B212" s="54" t="s">
        <v>99</v>
      </c>
      <c r="C212" s="55">
        <v>46174.0</v>
      </c>
      <c r="D212" s="22">
        <v>629.29</v>
      </c>
      <c r="E212" s="56"/>
      <c r="F212" s="28"/>
    </row>
    <row r="213">
      <c r="A213" s="30" t="s">
        <v>32</v>
      </c>
      <c r="B213" s="31"/>
      <c r="C213" s="32"/>
      <c r="D213" s="24">
        <f>round(D212*(1+10%),2)</f>
        <v>692.22</v>
      </c>
      <c r="E213" s="57"/>
      <c r="F213" s="28"/>
    </row>
    <row r="214">
      <c r="A214" s="30" t="s">
        <v>24</v>
      </c>
      <c r="B214" s="31"/>
      <c r="C214" s="32"/>
      <c r="D214" s="24">
        <f>round(D213*10%,2)</f>
        <v>69.22</v>
      </c>
      <c r="E214" s="57"/>
      <c r="F214" s="28"/>
    </row>
    <row r="215">
      <c r="A215" s="33" t="s">
        <v>9</v>
      </c>
      <c r="B215" s="31"/>
      <c r="C215" s="32"/>
      <c r="D215" s="39">
        <f>D213-D214</f>
        <v>623</v>
      </c>
      <c r="E215" s="90">
        <v>26466.0</v>
      </c>
      <c r="F215" s="41">
        <f>round(D215*E215,0)</f>
        <v>16488318</v>
      </c>
    </row>
    <row r="216">
      <c r="A216" s="33" t="s">
        <v>26</v>
      </c>
      <c r="B216" s="31"/>
      <c r="C216" s="32"/>
      <c r="D216" s="39"/>
      <c r="E216" s="90"/>
      <c r="F216" s="41">
        <f>round(F215*10%,0)</f>
        <v>1648832</v>
      </c>
    </row>
    <row r="217">
      <c r="A217" s="33" t="s">
        <v>16</v>
      </c>
      <c r="B217" s="31"/>
      <c r="C217" s="32"/>
      <c r="D217" s="39"/>
      <c r="E217" s="90"/>
      <c r="F217" s="41">
        <f>F215+F216</f>
        <v>18137150</v>
      </c>
    </row>
    <row r="223">
      <c r="A223" s="52" t="s">
        <v>98</v>
      </c>
    </row>
    <row r="224">
      <c r="A224" s="53"/>
      <c r="B224" s="53"/>
      <c r="C224" s="53"/>
      <c r="D224" s="53"/>
      <c r="E224" s="53"/>
      <c r="F224" s="53"/>
    </row>
    <row r="225">
      <c r="A225" s="9" t="s">
        <v>4</v>
      </c>
      <c r="B225" s="9" t="s">
        <v>5</v>
      </c>
      <c r="C225" s="9" t="s">
        <v>6</v>
      </c>
      <c r="D225" s="9" t="s">
        <v>7</v>
      </c>
      <c r="E225" s="9" t="s">
        <v>8</v>
      </c>
      <c r="F225" s="9" t="s">
        <v>9</v>
      </c>
    </row>
    <row r="226">
      <c r="A226" s="13">
        <v>1.0</v>
      </c>
      <c r="B226" s="54" t="s">
        <v>99</v>
      </c>
      <c r="C226" s="55">
        <v>46204.0</v>
      </c>
      <c r="D226" s="22">
        <v>619.67</v>
      </c>
      <c r="E226" s="56"/>
      <c r="F226" s="28"/>
    </row>
    <row r="227">
      <c r="A227" s="30" t="s">
        <v>32</v>
      </c>
      <c r="B227" s="31"/>
      <c r="C227" s="32"/>
      <c r="D227" s="24">
        <f>round(D226*(1+10%),2)</f>
        <v>681.64</v>
      </c>
      <c r="E227" s="57"/>
      <c r="F227" s="28"/>
    </row>
    <row r="228">
      <c r="A228" s="30" t="s">
        <v>24</v>
      </c>
      <c r="B228" s="31"/>
      <c r="C228" s="32"/>
      <c r="D228" s="24">
        <f>round(D227*10%,2)</f>
        <v>68.16</v>
      </c>
      <c r="E228" s="57"/>
      <c r="F228" s="28"/>
    </row>
    <row r="229">
      <c r="A229" s="33" t="s">
        <v>9</v>
      </c>
      <c r="B229" s="31"/>
      <c r="C229" s="32"/>
      <c r="D229" s="39">
        <f>D227-D228</f>
        <v>613.48</v>
      </c>
      <c r="E229" s="90">
        <v>26475.0</v>
      </c>
      <c r="F229" s="41">
        <f>round(D229*E229,0)</f>
        <v>16241883</v>
      </c>
    </row>
    <row r="230">
      <c r="A230" s="33" t="s">
        <v>26</v>
      </c>
      <c r="B230" s="31"/>
      <c r="C230" s="32"/>
      <c r="D230" s="39"/>
      <c r="E230" s="90"/>
      <c r="F230" s="41">
        <f>round(F229*10%,0)</f>
        <v>1624188</v>
      </c>
    </row>
    <row r="231">
      <c r="A231" s="33" t="s">
        <v>16</v>
      </c>
      <c r="B231" s="31"/>
      <c r="C231" s="32"/>
      <c r="D231" s="39"/>
      <c r="E231" s="90"/>
      <c r="F231" s="41">
        <f>F229+F230</f>
        <v>17866071</v>
      </c>
    </row>
  </sheetData>
  <mergeCells count="108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49:F49"/>
    <mergeCell ref="A53:C53"/>
    <mergeCell ref="A54:C54"/>
    <mergeCell ref="A55:C55"/>
    <mergeCell ref="A56:C56"/>
    <mergeCell ref="A57:C57"/>
    <mergeCell ref="A61:F61"/>
    <mergeCell ref="A65:C65"/>
    <mergeCell ref="A66:C66"/>
    <mergeCell ref="A67:C67"/>
    <mergeCell ref="A68:C68"/>
    <mergeCell ref="A69:C69"/>
    <mergeCell ref="A74:F74"/>
    <mergeCell ref="A78:C78"/>
    <mergeCell ref="A79:C79"/>
    <mergeCell ref="A80:C80"/>
    <mergeCell ref="A81:C81"/>
    <mergeCell ref="A82:C82"/>
    <mergeCell ref="A87:F87"/>
    <mergeCell ref="A91:C91"/>
    <mergeCell ref="A92:C92"/>
    <mergeCell ref="A93:C93"/>
    <mergeCell ref="A94:C94"/>
    <mergeCell ref="A95:C95"/>
    <mergeCell ref="A101:F101"/>
    <mergeCell ref="A200:C200"/>
    <mergeCell ref="A201:C201"/>
    <mergeCell ref="A202:C202"/>
    <mergeCell ref="A203:C203"/>
    <mergeCell ref="A204:C204"/>
    <mergeCell ref="A209:F209"/>
    <mergeCell ref="A213:C213"/>
    <mergeCell ref="A214:C214"/>
    <mergeCell ref="A215:C215"/>
    <mergeCell ref="A216:C216"/>
    <mergeCell ref="A217:C217"/>
    <mergeCell ref="A223:F223"/>
    <mergeCell ref="A227:C227"/>
    <mergeCell ref="A228:C228"/>
    <mergeCell ref="A105:C105"/>
    <mergeCell ref="A106:C106"/>
    <mergeCell ref="A107:C107"/>
    <mergeCell ref="A108:C108"/>
    <mergeCell ref="A109:C109"/>
    <mergeCell ref="A114:F114"/>
    <mergeCell ref="A118:C118"/>
    <mergeCell ref="A119:C119"/>
    <mergeCell ref="A120:C120"/>
    <mergeCell ref="A121:C121"/>
    <mergeCell ref="A122:C122"/>
    <mergeCell ref="A128:F128"/>
    <mergeCell ref="A132:C132"/>
    <mergeCell ref="A133:C133"/>
    <mergeCell ref="A134:C134"/>
    <mergeCell ref="A135:C135"/>
    <mergeCell ref="A136:C136"/>
    <mergeCell ref="A142:F142"/>
    <mergeCell ref="A146:C146"/>
    <mergeCell ref="A147:C147"/>
    <mergeCell ref="A148:C148"/>
    <mergeCell ref="A149:C149"/>
    <mergeCell ref="A150:C150"/>
    <mergeCell ref="A155:F155"/>
    <mergeCell ref="A159:C159"/>
    <mergeCell ref="A160:C160"/>
    <mergeCell ref="A161:C161"/>
    <mergeCell ref="A162:C162"/>
    <mergeCell ref="A163:C163"/>
    <mergeCell ref="A169:F169"/>
    <mergeCell ref="A173:C173"/>
    <mergeCell ref="A174:C174"/>
    <mergeCell ref="A175:C175"/>
    <mergeCell ref="A176:C176"/>
    <mergeCell ref="A177:C177"/>
    <mergeCell ref="A183:F183"/>
    <mergeCell ref="A187:C187"/>
    <mergeCell ref="A188:C188"/>
    <mergeCell ref="A189:C189"/>
    <mergeCell ref="A190:C190"/>
    <mergeCell ref="A191:C191"/>
    <mergeCell ref="A196:F196"/>
    <mergeCell ref="A229:C229"/>
    <mergeCell ref="A230:C230"/>
    <mergeCell ref="A231:C23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75"/>
    <col customWidth="1" min="2" max="2" width="52.63"/>
    <col customWidth="1" min="3" max="3" width="13.75"/>
    <col customWidth="1" min="4" max="4" width="19.75"/>
    <col customWidth="1" min="5" max="5" width="11.88"/>
    <col customWidth="1" min="6" max="6" width="19.25"/>
  </cols>
  <sheetData>
    <row r="1">
      <c r="A1" s="52" t="s">
        <v>100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101</v>
      </c>
      <c r="C4" s="55">
        <v>45717.0</v>
      </c>
      <c r="D4" s="22">
        <v>1412.53</v>
      </c>
      <c r="E4" s="56"/>
      <c r="F4" s="28"/>
    </row>
    <row r="5">
      <c r="A5" s="30" t="s">
        <v>21</v>
      </c>
      <c r="B5" s="31"/>
      <c r="C5" s="32"/>
      <c r="D5" s="24">
        <f>round(D4*(1+5.26%),2)</f>
        <v>1486.83</v>
      </c>
      <c r="E5" s="57"/>
      <c r="F5" s="28"/>
    </row>
    <row r="6">
      <c r="A6" s="30" t="s">
        <v>24</v>
      </c>
      <c r="B6" s="31"/>
      <c r="C6" s="32"/>
      <c r="D6" s="24">
        <f>round(D5*10%,2)</f>
        <v>148.68</v>
      </c>
      <c r="E6" s="57"/>
      <c r="F6" s="28"/>
    </row>
    <row r="7">
      <c r="A7" s="33" t="s">
        <v>9</v>
      </c>
      <c r="B7" s="31"/>
      <c r="C7" s="32"/>
      <c r="D7" s="39">
        <f>D5-D6</f>
        <v>1338.15</v>
      </c>
      <c r="E7" s="90">
        <v>25775.0</v>
      </c>
      <c r="F7" s="41">
        <f>round(D7*E7,0)</f>
        <v>34490816</v>
      </c>
    </row>
    <row r="8">
      <c r="A8" s="33" t="s">
        <v>26</v>
      </c>
      <c r="B8" s="31"/>
      <c r="C8" s="32"/>
      <c r="D8" s="39"/>
      <c r="E8" s="90"/>
      <c r="F8" s="41">
        <f>round(F7*10%,0)</f>
        <v>3449082</v>
      </c>
    </row>
    <row r="9">
      <c r="A9" s="33" t="s">
        <v>16</v>
      </c>
      <c r="B9" s="31"/>
      <c r="C9" s="32"/>
      <c r="D9" s="39"/>
      <c r="E9" s="90"/>
      <c r="F9" s="41">
        <f>F7+F8</f>
        <v>37939898</v>
      </c>
    </row>
    <row r="13">
      <c r="A13" s="52" t="s">
        <v>100</v>
      </c>
    </row>
    <row r="14">
      <c r="A14" s="53"/>
      <c r="B14" s="53"/>
      <c r="C14" s="53"/>
      <c r="D14" s="53"/>
      <c r="E14" s="53"/>
      <c r="F14" s="53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>
      <c r="A16" s="13">
        <v>1.0</v>
      </c>
      <c r="B16" s="54" t="s">
        <v>101</v>
      </c>
      <c r="C16" s="55">
        <v>45748.0</v>
      </c>
      <c r="D16" s="22">
        <v>1410.74</v>
      </c>
      <c r="E16" s="56"/>
      <c r="F16" s="28"/>
    </row>
    <row r="17">
      <c r="A17" s="30" t="s">
        <v>21</v>
      </c>
      <c r="B17" s="31"/>
      <c r="C17" s="32"/>
      <c r="D17" s="24">
        <f>round(D16*(1+5.26%),2)</f>
        <v>1484.94</v>
      </c>
      <c r="E17" s="57"/>
      <c r="F17" s="28"/>
    </row>
    <row r="18">
      <c r="A18" s="30" t="s">
        <v>24</v>
      </c>
      <c r="B18" s="31"/>
      <c r="C18" s="32"/>
      <c r="D18" s="24">
        <f>round(D17*10%,2)</f>
        <v>148.49</v>
      </c>
      <c r="E18" s="57"/>
      <c r="F18" s="28"/>
    </row>
    <row r="19">
      <c r="A19" s="33" t="s">
        <v>9</v>
      </c>
      <c r="B19" s="31"/>
      <c r="C19" s="32"/>
      <c r="D19" s="39">
        <f>D17-D18</f>
        <v>1336.45</v>
      </c>
      <c r="E19" s="90">
        <v>26190.0</v>
      </c>
      <c r="F19" s="41">
        <f>round(D19*E19,0)</f>
        <v>35001626</v>
      </c>
    </row>
    <row r="20">
      <c r="A20" s="33" t="s">
        <v>26</v>
      </c>
      <c r="B20" s="31"/>
      <c r="C20" s="32"/>
      <c r="D20" s="39"/>
      <c r="E20" s="90"/>
      <c r="F20" s="41">
        <f>round(F19*10%,0)</f>
        <v>3500163</v>
      </c>
    </row>
    <row r="21">
      <c r="A21" s="33" t="s">
        <v>16</v>
      </c>
      <c r="B21" s="31"/>
      <c r="C21" s="32"/>
      <c r="D21" s="39"/>
      <c r="E21" s="90"/>
      <c r="F21" s="41">
        <f>F19+F20</f>
        <v>38501789</v>
      </c>
    </row>
    <row r="25">
      <c r="A25" s="52" t="s">
        <v>100</v>
      </c>
    </row>
    <row r="26">
      <c r="A26" s="53"/>
      <c r="B26" s="53"/>
      <c r="C26" s="53"/>
      <c r="D26" s="53"/>
      <c r="E26" s="53"/>
      <c r="F26" s="53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</row>
    <row r="28">
      <c r="A28" s="13">
        <v>1.0</v>
      </c>
      <c r="B28" s="54" t="s">
        <v>101</v>
      </c>
      <c r="C28" s="55">
        <v>45778.0</v>
      </c>
      <c r="D28" s="22">
        <v>1430.19</v>
      </c>
      <c r="E28" s="56"/>
      <c r="F28" s="28"/>
    </row>
    <row r="29">
      <c r="A29" s="30" t="s">
        <v>21</v>
      </c>
      <c r="B29" s="31"/>
      <c r="C29" s="32"/>
      <c r="D29" s="24">
        <f>round(D28*(1+5.26%),2)</f>
        <v>1505.42</v>
      </c>
      <c r="E29" s="57"/>
      <c r="F29" s="28"/>
    </row>
    <row r="30">
      <c r="A30" s="30" t="s">
        <v>24</v>
      </c>
      <c r="B30" s="31"/>
      <c r="C30" s="32"/>
      <c r="D30" s="24">
        <f>round(D29*10%,2)</f>
        <v>150.54</v>
      </c>
      <c r="E30" s="57"/>
      <c r="F30" s="28"/>
    </row>
    <row r="31">
      <c r="A31" s="33" t="s">
        <v>9</v>
      </c>
      <c r="B31" s="31"/>
      <c r="C31" s="32"/>
      <c r="D31" s="39">
        <f>D29-D30</f>
        <v>1354.88</v>
      </c>
      <c r="E31" s="90">
        <v>26225.0</v>
      </c>
      <c r="F31" s="41">
        <f>round(D31*E31,0)</f>
        <v>35531728</v>
      </c>
    </row>
    <row r="32">
      <c r="A32" s="33" t="s">
        <v>26</v>
      </c>
      <c r="B32" s="31"/>
      <c r="C32" s="32"/>
      <c r="D32" s="39"/>
      <c r="E32" s="90"/>
      <c r="F32" s="41">
        <f>round(F31*10%,0)</f>
        <v>3553173</v>
      </c>
    </row>
    <row r="33">
      <c r="A33" s="33" t="s">
        <v>16</v>
      </c>
      <c r="B33" s="31"/>
      <c r="C33" s="32"/>
      <c r="D33" s="39"/>
      <c r="E33" s="90"/>
      <c r="F33" s="41">
        <f>F31+F32</f>
        <v>39084901</v>
      </c>
    </row>
    <row r="37">
      <c r="A37" s="52" t="s">
        <v>100</v>
      </c>
    </row>
    <row r="38">
      <c r="A38" s="53"/>
      <c r="B38" s="53"/>
      <c r="C38" s="53"/>
      <c r="D38" s="53"/>
      <c r="E38" s="53"/>
      <c r="F38" s="53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</row>
    <row r="40">
      <c r="A40" s="13">
        <v>1.0</v>
      </c>
      <c r="B40" s="54" t="s">
        <v>101</v>
      </c>
      <c r="C40" s="55">
        <v>45809.0</v>
      </c>
      <c r="D40" s="22">
        <v>1447.73</v>
      </c>
      <c r="E40" s="56"/>
      <c r="F40" s="28"/>
    </row>
    <row r="41">
      <c r="A41" s="30" t="s">
        <v>21</v>
      </c>
      <c r="B41" s="31"/>
      <c r="C41" s="32"/>
      <c r="D41" s="24">
        <f>round(D40*(1+5.26%),2)</f>
        <v>1523.88</v>
      </c>
      <c r="E41" s="57"/>
      <c r="F41" s="28"/>
    </row>
    <row r="42">
      <c r="A42" s="30" t="s">
        <v>24</v>
      </c>
      <c r="B42" s="31"/>
      <c r="C42" s="32"/>
      <c r="D42" s="24">
        <f>round(D41*10%,2)</f>
        <v>152.39</v>
      </c>
      <c r="E42" s="57"/>
      <c r="F42" s="28"/>
    </row>
    <row r="43">
      <c r="A43" s="33" t="s">
        <v>9</v>
      </c>
      <c r="B43" s="31"/>
      <c r="C43" s="32"/>
      <c r="D43" s="39">
        <f>D41-D42</f>
        <v>1371.49</v>
      </c>
      <c r="E43" s="90">
        <v>26300.0</v>
      </c>
      <c r="F43" s="41">
        <f>round(D43*E43,0)</f>
        <v>36070187</v>
      </c>
    </row>
    <row r="44">
      <c r="A44" s="33" t="s">
        <v>26</v>
      </c>
      <c r="B44" s="31"/>
      <c r="C44" s="32"/>
      <c r="D44" s="39"/>
      <c r="E44" s="90"/>
      <c r="F44" s="41">
        <f>round(F43*10%,0)</f>
        <v>3607019</v>
      </c>
    </row>
    <row r="45">
      <c r="A45" s="33" t="s">
        <v>16</v>
      </c>
      <c r="B45" s="31"/>
      <c r="C45" s="32"/>
      <c r="D45" s="39"/>
      <c r="E45" s="90"/>
      <c r="F45" s="41">
        <f>F43+F44</f>
        <v>39677206</v>
      </c>
    </row>
    <row r="49">
      <c r="A49" s="52" t="s">
        <v>100</v>
      </c>
    </row>
    <row r="50">
      <c r="A50" s="53"/>
      <c r="B50" s="53"/>
      <c r="C50" s="53"/>
      <c r="D50" s="53"/>
      <c r="E50" s="53"/>
      <c r="F50" s="53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</row>
    <row r="52">
      <c r="A52" s="13">
        <v>1.0</v>
      </c>
      <c r="B52" s="54" t="s">
        <v>101</v>
      </c>
      <c r="C52" s="55">
        <v>45839.0</v>
      </c>
      <c r="D52" s="22">
        <v>1426.91</v>
      </c>
      <c r="E52" s="56"/>
      <c r="F52" s="28"/>
    </row>
    <row r="53">
      <c r="A53" s="30" t="s">
        <v>32</v>
      </c>
      <c r="B53" s="31"/>
      <c r="C53" s="32"/>
      <c r="D53" s="24">
        <f>round(D52*(1+10%),2)</f>
        <v>1569.6</v>
      </c>
      <c r="E53" s="57"/>
      <c r="F53" s="28"/>
    </row>
    <row r="54">
      <c r="A54" s="30" t="s">
        <v>24</v>
      </c>
      <c r="B54" s="31"/>
      <c r="C54" s="32"/>
      <c r="D54" s="24">
        <f>round(D53*10%,2)</f>
        <v>156.96</v>
      </c>
      <c r="E54" s="57"/>
      <c r="F54" s="28"/>
    </row>
    <row r="55">
      <c r="A55" s="33" t="s">
        <v>9</v>
      </c>
      <c r="B55" s="31"/>
      <c r="C55" s="32"/>
      <c r="D55" s="39">
        <f>D53-D54</f>
        <v>1412.64</v>
      </c>
      <c r="E55" s="90">
        <v>26382.0</v>
      </c>
      <c r="F55" s="41">
        <f>round(D55*E55,0)</f>
        <v>37268268</v>
      </c>
    </row>
    <row r="56">
      <c r="A56" s="33" t="s">
        <v>26</v>
      </c>
      <c r="B56" s="31"/>
      <c r="C56" s="32"/>
      <c r="D56" s="39"/>
      <c r="E56" s="90"/>
      <c r="F56" s="41">
        <f>round(F55*10%,0)</f>
        <v>3726827</v>
      </c>
    </row>
    <row r="57">
      <c r="A57" s="33" t="s">
        <v>16</v>
      </c>
      <c r="B57" s="31"/>
      <c r="C57" s="32"/>
      <c r="D57" s="39"/>
      <c r="E57" s="90"/>
      <c r="F57" s="41">
        <f>F55+F56</f>
        <v>40995095</v>
      </c>
    </row>
    <row r="62">
      <c r="A62" s="52" t="s">
        <v>100</v>
      </c>
    </row>
    <row r="63">
      <c r="A63" s="53"/>
      <c r="B63" s="53"/>
      <c r="C63" s="53"/>
      <c r="D63" s="53"/>
      <c r="E63" s="53"/>
      <c r="F63" s="53"/>
    </row>
    <row r="64">
      <c r="A64" s="9" t="s">
        <v>4</v>
      </c>
      <c r="B64" s="9" t="s">
        <v>5</v>
      </c>
      <c r="C64" s="9" t="s">
        <v>6</v>
      </c>
      <c r="D64" s="9" t="s">
        <v>7</v>
      </c>
      <c r="E64" s="9" t="s">
        <v>8</v>
      </c>
      <c r="F64" s="9" t="s">
        <v>9</v>
      </c>
    </row>
    <row r="65">
      <c r="A65" s="13">
        <v>1.0</v>
      </c>
      <c r="B65" s="54" t="s">
        <v>101</v>
      </c>
      <c r="C65" s="55">
        <v>45870.0</v>
      </c>
      <c r="D65" s="22">
        <v>1431.63</v>
      </c>
      <c r="E65" s="56"/>
      <c r="F65" s="28"/>
    </row>
    <row r="66">
      <c r="A66" s="30" t="s">
        <v>32</v>
      </c>
      <c r="B66" s="31"/>
      <c r="C66" s="32"/>
      <c r="D66" s="24">
        <f>round(D65*(1+10%),2)</f>
        <v>1574.79</v>
      </c>
      <c r="E66" s="57"/>
      <c r="F66" s="28"/>
    </row>
    <row r="67">
      <c r="A67" s="30" t="s">
        <v>24</v>
      </c>
      <c r="B67" s="31"/>
      <c r="C67" s="32"/>
      <c r="D67" s="24">
        <f>round(D66*10%,2)</f>
        <v>157.48</v>
      </c>
      <c r="E67" s="57"/>
      <c r="F67" s="28"/>
    </row>
    <row r="68">
      <c r="A68" s="33" t="s">
        <v>9</v>
      </c>
      <c r="B68" s="31"/>
      <c r="C68" s="32"/>
      <c r="D68" s="39">
        <f>D66-D67</f>
        <v>1417.31</v>
      </c>
      <c r="E68" s="90">
        <v>26502.0</v>
      </c>
      <c r="F68" s="41">
        <f>round(D68*E68,0)</f>
        <v>37561550</v>
      </c>
    </row>
    <row r="69">
      <c r="A69" s="33" t="s">
        <v>26</v>
      </c>
      <c r="B69" s="31"/>
      <c r="C69" s="32"/>
      <c r="D69" s="39"/>
      <c r="E69" s="90"/>
      <c r="F69" s="41">
        <f>round(F68*10%,0)</f>
        <v>3756155</v>
      </c>
    </row>
    <row r="70">
      <c r="A70" s="33" t="s">
        <v>16</v>
      </c>
      <c r="B70" s="31"/>
      <c r="C70" s="32"/>
      <c r="D70" s="39"/>
      <c r="E70" s="90"/>
      <c r="F70" s="41">
        <f>F68+F69</f>
        <v>41317705</v>
      </c>
    </row>
    <row r="76">
      <c r="A76" s="52" t="s">
        <v>100</v>
      </c>
    </row>
    <row r="77">
      <c r="A77" s="53"/>
      <c r="B77" s="53"/>
      <c r="C77" s="53"/>
      <c r="D77" s="53"/>
      <c r="E77" s="53"/>
      <c r="F77" s="53"/>
    </row>
    <row r="78">
      <c r="A78" s="9" t="s">
        <v>4</v>
      </c>
      <c r="B78" s="9" t="s">
        <v>5</v>
      </c>
      <c r="C78" s="9" t="s">
        <v>6</v>
      </c>
      <c r="D78" s="9" t="s">
        <v>7</v>
      </c>
      <c r="E78" s="9" t="s">
        <v>8</v>
      </c>
      <c r="F78" s="9" t="s">
        <v>9</v>
      </c>
    </row>
    <row r="79">
      <c r="A79" s="13">
        <v>1.0</v>
      </c>
      <c r="B79" s="54" t="s">
        <v>101</v>
      </c>
      <c r="C79" s="55">
        <v>45901.0</v>
      </c>
      <c r="D79" s="22">
        <v>1482.49</v>
      </c>
      <c r="E79" s="56"/>
      <c r="F79" s="28"/>
    </row>
    <row r="80">
      <c r="A80" s="30" t="s">
        <v>32</v>
      </c>
      <c r="B80" s="31"/>
      <c r="C80" s="32"/>
      <c r="D80" s="24">
        <f>round(D79*(1+10%),2)</f>
        <v>1630.74</v>
      </c>
      <c r="E80" s="57"/>
      <c r="F80" s="28"/>
    </row>
    <row r="81">
      <c r="A81" s="30" t="s">
        <v>24</v>
      </c>
      <c r="B81" s="31"/>
      <c r="C81" s="32"/>
      <c r="D81" s="24">
        <f>round(D80*10%,2)</f>
        <v>163.07</v>
      </c>
      <c r="E81" s="57"/>
      <c r="F81" s="28"/>
    </row>
    <row r="82">
      <c r="A82" s="33" t="s">
        <v>9</v>
      </c>
      <c r="B82" s="31"/>
      <c r="C82" s="32"/>
      <c r="D82" s="39">
        <f>D80-D81</f>
        <v>1467.67</v>
      </c>
      <c r="E82" s="90">
        <v>26446.0</v>
      </c>
      <c r="F82" s="41">
        <f>round(D82*E82,0)</f>
        <v>38814001</v>
      </c>
    </row>
    <row r="83">
      <c r="A83" s="33" t="s">
        <v>26</v>
      </c>
      <c r="B83" s="31"/>
      <c r="C83" s="32"/>
      <c r="D83" s="39"/>
      <c r="E83" s="90"/>
      <c r="F83" s="41">
        <f>round(F82*10%,0)</f>
        <v>3881400</v>
      </c>
    </row>
    <row r="84">
      <c r="A84" s="33" t="s">
        <v>16</v>
      </c>
      <c r="B84" s="31"/>
      <c r="C84" s="32"/>
      <c r="D84" s="39"/>
      <c r="E84" s="90"/>
      <c r="F84" s="41">
        <f>F82+F83</f>
        <v>42695401</v>
      </c>
    </row>
    <row r="90">
      <c r="A90" s="52" t="s">
        <v>100</v>
      </c>
    </row>
    <row r="91">
      <c r="A91" s="53"/>
      <c r="B91" s="53"/>
      <c r="C91" s="53"/>
      <c r="D91" s="53"/>
      <c r="E91" s="53"/>
      <c r="F91" s="53"/>
    </row>
    <row r="92">
      <c r="A92" s="9" t="s">
        <v>4</v>
      </c>
      <c r="B92" s="9" t="s">
        <v>5</v>
      </c>
      <c r="C92" s="9" t="s">
        <v>6</v>
      </c>
      <c r="D92" s="9" t="s">
        <v>7</v>
      </c>
      <c r="E92" s="9" t="s">
        <v>8</v>
      </c>
      <c r="F92" s="9" t="s">
        <v>9</v>
      </c>
    </row>
    <row r="93">
      <c r="A93" s="13">
        <v>1.0</v>
      </c>
      <c r="B93" s="54" t="s">
        <v>101</v>
      </c>
      <c r="C93" s="55">
        <v>45931.0</v>
      </c>
      <c r="D93" s="22">
        <v>1481.08</v>
      </c>
      <c r="E93" s="56"/>
      <c r="F93" s="28"/>
    </row>
    <row r="94">
      <c r="A94" s="30" t="s">
        <v>32</v>
      </c>
      <c r="B94" s="31"/>
      <c r="C94" s="32"/>
      <c r="D94" s="24">
        <f>round(D93*(1+10%),2)</f>
        <v>1629.19</v>
      </c>
      <c r="E94" s="57"/>
      <c r="F94" s="28"/>
    </row>
    <row r="95">
      <c r="A95" s="30" t="s">
        <v>24</v>
      </c>
      <c r="B95" s="31"/>
      <c r="C95" s="32"/>
      <c r="D95" s="24">
        <f>round(D94*10%,2)</f>
        <v>162.92</v>
      </c>
      <c r="E95" s="57"/>
      <c r="F95" s="28"/>
    </row>
    <row r="96">
      <c r="A96" s="33" t="s">
        <v>9</v>
      </c>
      <c r="B96" s="31"/>
      <c r="C96" s="32"/>
      <c r="D96" s="39">
        <f>D94-D95</f>
        <v>1466.27</v>
      </c>
      <c r="E96" s="90">
        <v>26347.0</v>
      </c>
      <c r="F96" s="41">
        <f>round(D96*E96,0)</f>
        <v>38631816</v>
      </c>
    </row>
    <row r="97">
      <c r="A97" s="33" t="s">
        <v>26</v>
      </c>
      <c r="B97" s="31"/>
      <c r="C97" s="32"/>
      <c r="D97" s="39"/>
      <c r="E97" s="90"/>
      <c r="F97" s="41">
        <f>round(F96*10%,0)</f>
        <v>3863182</v>
      </c>
    </row>
    <row r="98">
      <c r="A98" s="33" t="s">
        <v>16</v>
      </c>
      <c r="B98" s="31"/>
      <c r="C98" s="32"/>
      <c r="D98" s="39"/>
      <c r="E98" s="90"/>
      <c r="F98" s="41">
        <f>F96+F97</f>
        <v>42494998</v>
      </c>
    </row>
    <row r="103">
      <c r="A103" s="52" t="s">
        <v>100</v>
      </c>
    </row>
    <row r="104">
      <c r="A104" s="53"/>
      <c r="B104" s="53"/>
      <c r="C104" s="53"/>
      <c r="D104" s="53"/>
      <c r="E104" s="53"/>
      <c r="F104" s="53"/>
    </row>
    <row r="105">
      <c r="A105" s="9" t="s">
        <v>4</v>
      </c>
      <c r="B105" s="9" t="s">
        <v>5</v>
      </c>
      <c r="C105" s="9" t="s">
        <v>6</v>
      </c>
      <c r="D105" s="9" t="s">
        <v>7</v>
      </c>
      <c r="E105" s="9" t="s">
        <v>8</v>
      </c>
      <c r="F105" s="9" t="s">
        <v>9</v>
      </c>
    </row>
    <row r="106">
      <c r="A106" s="13">
        <v>1.0</v>
      </c>
      <c r="B106" s="54" t="s">
        <v>101</v>
      </c>
      <c r="C106" s="55">
        <v>45962.0</v>
      </c>
      <c r="D106" s="22">
        <v>1487.13</v>
      </c>
      <c r="E106" s="56"/>
      <c r="F106" s="28"/>
    </row>
    <row r="107">
      <c r="A107" s="30" t="s">
        <v>32</v>
      </c>
      <c r="B107" s="31"/>
      <c r="C107" s="32"/>
      <c r="D107" s="24">
        <f>round(D106*(1+10%),2)</f>
        <v>1635.84</v>
      </c>
      <c r="E107" s="57"/>
      <c r="F107" s="28"/>
    </row>
    <row r="108">
      <c r="A108" s="30" t="s">
        <v>24</v>
      </c>
      <c r="B108" s="31"/>
      <c r="C108" s="32"/>
      <c r="D108" s="24">
        <f>round(D107*10%,2)</f>
        <v>163.58</v>
      </c>
      <c r="E108" s="57"/>
      <c r="F108" s="28"/>
    </row>
    <row r="109">
      <c r="A109" s="33" t="s">
        <v>9</v>
      </c>
      <c r="B109" s="31"/>
      <c r="C109" s="32"/>
      <c r="D109" s="39">
        <f>D107-D108</f>
        <v>1472.26</v>
      </c>
      <c r="E109" s="90">
        <v>26412.0</v>
      </c>
      <c r="F109" s="41">
        <f>round(D109*E109,0)</f>
        <v>38885331</v>
      </c>
    </row>
    <row r="110">
      <c r="A110" s="33" t="s">
        <v>26</v>
      </c>
      <c r="B110" s="31"/>
      <c r="C110" s="32"/>
      <c r="D110" s="39"/>
      <c r="E110" s="90"/>
      <c r="F110" s="41">
        <f>round(F109*10%,0)</f>
        <v>3888533</v>
      </c>
    </row>
    <row r="111">
      <c r="A111" s="33" t="s">
        <v>16</v>
      </c>
      <c r="B111" s="31"/>
      <c r="C111" s="32"/>
      <c r="D111" s="39"/>
      <c r="E111" s="90"/>
      <c r="F111" s="41">
        <f>F109+F110</f>
        <v>42773864</v>
      </c>
    </row>
    <row r="117">
      <c r="A117" s="52" t="s">
        <v>100</v>
      </c>
    </row>
    <row r="118">
      <c r="A118" s="53"/>
      <c r="B118" s="53"/>
      <c r="C118" s="53"/>
      <c r="D118" s="53"/>
      <c r="E118" s="53"/>
      <c r="F118" s="53"/>
    </row>
    <row r="119">
      <c r="A119" s="9" t="s">
        <v>4</v>
      </c>
      <c r="B119" s="9" t="s">
        <v>5</v>
      </c>
      <c r="C119" s="9" t="s">
        <v>6</v>
      </c>
      <c r="D119" s="9" t="s">
        <v>7</v>
      </c>
      <c r="E119" s="9" t="s">
        <v>8</v>
      </c>
      <c r="F119" s="9" t="s">
        <v>9</v>
      </c>
    </row>
    <row r="120">
      <c r="A120" s="13">
        <v>1.0</v>
      </c>
      <c r="B120" s="54" t="s">
        <v>101</v>
      </c>
      <c r="C120" s="55">
        <v>45992.0</v>
      </c>
      <c r="D120" s="22">
        <v>1479.26</v>
      </c>
      <c r="E120" s="56"/>
      <c r="F120" s="28"/>
    </row>
    <row r="121">
      <c r="A121" s="30" t="s">
        <v>32</v>
      </c>
      <c r="B121" s="31"/>
      <c r="C121" s="32"/>
      <c r="D121" s="24">
        <f>round(D120*(1+10%),2)</f>
        <v>1627.19</v>
      </c>
      <c r="E121" s="57"/>
      <c r="F121" s="28"/>
    </row>
    <row r="122">
      <c r="A122" s="30" t="s">
        <v>24</v>
      </c>
      <c r="B122" s="31"/>
      <c r="C122" s="32"/>
      <c r="D122" s="24">
        <f>round(D121*10%,2)</f>
        <v>162.72</v>
      </c>
      <c r="E122" s="57"/>
      <c r="F122" s="28"/>
    </row>
    <row r="123">
      <c r="A123" s="33" t="s">
        <v>9</v>
      </c>
      <c r="B123" s="31"/>
      <c r="C123" s="32"/>
      <c r="D123" s="39">
        <f>D121-D122</f>
        <v>1464.47</v>
      </c>
      <c r="E123" s="90">
        <v>26377.0</v>
      </c>
      <c r="F123" s="41">
        <f>round(D123*E123,0)</f>
        <v>38628325</v>
      </c>
    </row>
    <row r="124">
      <c r="A124" s="33" t="s">
        <v>26</v>
      </c>
      <c r="B124" s="31"/>
      <c r="C124" s="32"/>
      <c r="D124" s="39"/>
      <c r="E124" s="90"/>
      <c r="F124" s="41">
        <f>round(F123*10%,0)</f>
        <v>3862833</v>
      </c>
    </row>
    <row r="125">
      <c r="A125" s="33" t="s">
        <v>16</v>
      </c>
      <c r="B125" s="31"/>
      <c r="C125" s="32"/>
      <c r="D125" s="39"/>
      <c r="E125" s="90"/>
      <c r="F125" s="41">
        <f>F123+F124</f>
        <v>42491158</v>
      </c>
    </row>
    <row r="131">
      <c r="A131" s="52" t="s">
        <v>100</v>
      </c>
    </row>
    <row r="132">
      <c r="A132" s="53"/>
      <c r="B132" s="53"/>
      <c r="C132" s="53"/>
      <c r="D132" s="53"/>
      <c r="E132" s="53"/>
      <c r="F132" s="53"/>
    </row>
    <row r="133">
      <c r="A133" s="9" t="s">
        <v>4</v>
      </c>
      <c r="B133" s="9" t="s">
        <v>5</v>
      </c>
      <c r="C133" s="9" t="s">
        <v>6</v>
      </c>
      <c r="D133" s="9" t="s">
        <v>7</v>
      </c>
      <c r="E133" s="9" t="s">
        <v>8</v>
      </c>
      <c r="F133" s="9" t="s">
        <v>9</v>
      </c>
    </row>
    <row r="134">
      <c r="A134" s="13">
        <v>1.0</v>
      </c>
      <c r="B134" s="54" t="s">
        <v>101</v>
      </c>
      <c r="C134" s="55">
        <v>46023.0</v>
      </c>
      <c r="D134" s="22">
        <v>1478.99</v>
      </c>
      <c r="E134" s="56"/>
      <c r="F134" s="28"/>
    </row>
    <row r="135">
      <c r="A135" s="30" t="s">
        <v>32</v>
      </c>
      <c r="B135" s="31"/>
      <c r="C135" s="32"/>
      <c r="D135" s="24">
        <f>round(D134*(1+10%),2)</f>
        <v>1626.89</v>
      </c>
      <c r="E135" s="57"/>
      <c r="F135" s="28"/>
    </row>
    <row r="136">
      <c r="A136" s="30" t="s">
        <v>24</v>
      </c>
      <c r="B136" s="31"/>
      <c r="C136" s="32"/>
      <c r="D136" s="24">
        <f>round(D135*10%,2)</f>
        <v>162.69</v>
      </c>
      <c r="E136" s="57"/>
      <c r="F136" s="28"/>
    </row>
    <row r="137">
      <c r="A137" s="33" t="s">
        <v>9</v>
      </c>
      <c r="B137" s="31"/>
      <c r="C137" s="32"/>
      <c r="D137" s="39">
        <f>D135-D136</f>
        <v>1464.2</v>
      </c>
      <c r="E137" s="90">
        <v>26145.0</v>
      </c>
      <c r="F137" s="41">
        <f>round(D137*E137,0)</f>
        <v>38281509</v>
      </c>
    </row>
    <row r="138">
      <c r="A138" s="33" t="s">
        <v>26</v>
      </c>
      <c r="B138" s="31"/>
      <c r="C138" s="32"/>
      <c r="D138" s="39"/>
      <c r="E138" s="90"/>
      <c r="F138" s="41">
        <f>round(F137*10%,0)</f>
        <v>3828151</v>
      </c>
    </row>
    <row r="139">
      <c r="A139" s="33" t="s">
        <v>16</v>
      </c>
      <c r="B139" s="31"/>
      <c r="C139" s="32"/>
      <c r="D139" s="39"/>
      <c r="E139" s="90"/>
      <c r="F139" s="41">
        <f>F137+F138</f>
        <v>42109660</v>
      </c>
    </row>
    <row r="144">
      <c r="A144" s="52" t="s">
        <v>100</v>
      </c>
    </row>
    <row r="145">
      <c r="A145" s="53"/>
      <c r="B145" s="53"/>
      <c r="C145" s="53"/>
      <c r="D145" s="53"/>
      <c r="E145" s="53"/>
      <c r="F145" s="53"/>
    </row>
    <row r="146">
      <c r="A146" s="9" t="s">
        <v>4</v>
      </c>
      <c r="B146" s="9" t="s">
        <v>5</v>
      </c>
      <c r="C146" s="9" t="s">
        <v>6</v>
      </c>
      <c r="D146" s="9" t="s">
        <v>7</v>
      </c>
      <c r="E146" s="9" t="s">
        <v>8</v>
      </c>
      <c r="F146" s="9" t="s">
        <v>9</v>
      </c>
    </row>
    <row r="147">
      <c r="A147" s="13">
        <v>1.0</v>
      </c>
      <c r="B147" s="54" t="s">
        <v>101</v>
      </c>
      <c r="C147" s="55">
        <v>46054.0</v>
      </c>
      <c r="D147" s="22">
        <v>1489.85</v>
      </c>
      <c r="E147" s="56"/>
      <c r="F147" s="28"/>
    </row>
    <row r="148">
      <c r="A148" s="30" t="s">
        <v>32</v>
      </c>
      <c r="B148" s="31"/>
      <c r="C148" s="32"/>
      <c r="D148" s="24">
        <f>round(D147*(1+10%),2)</f>
        <v>1638.84</v>
      </c>
      <c r="E148" s="57"/>
      <c r="F148" s="28"/>
    </row>
    <row r="149">
      <c r="A149" s="30" t="s">
        <v>24</v>
      </c>
      <c r="B149" s="31"/>
      <c r="C149" s="32"/>
      <c r="D149" s="24">
        <f>round(D148*10%,2)</f>
        <v>163.88</v>
      </c>
      <c r="E149" s="57"/>
      <c r="F149" s="28"/>
    </row>
    <row r="150">
      <c r="A150" s="33" t="s">
        <v>9</v>
      </c>
      <c r="B150" s="31"/>
      <c r="C150" s="32"/>
      <c r="D150" s="39">
        <f>D148-D149</f>
        <v>1474.96</v>
      </c>
      <c r="E150" s="90">
        <v>26240.0</v>
      </c>
      <c r="F150" s="41">
        <f>round(D150*E150,0)</f>
        <v>38702950</v>
      </c>
    </row>
    <row r="151">
      <c r="A151" s="33" t="s">
        <v>26</v>
      </c>
      <c r="B151" s="31"/>
      <c r="C151" s="32"/>
      <c r="D151" s="39"/>
      <c r="E151" s="90"/>
      <c r="F151" s="41">
        <f>round(F150*10%,0)</f>
        <v>3870295</v>
      </c>
    </row>
    <row r="152">
      <c r="A152" s="33" t="s">
        <v>16</v>
      </c>
      <c r="B152" s="31"/>
      <c r="C152" s="32"/>
      <c r="D152" s="39"/>
      <c r="E152" s="90"/>
      <c r="F152" s="41">
        <f>F150+F151</f>
        <v>42573245</v>
      </c>
    </row>
    <row r="158">
      <c r="A158" s="52" t="s">
        <v>100</v>
      </c>
    </row>
    <row r="159">
      <c r="A159" s="53"/>
      <c r="B159" s="53"/>
      <c r="C159" s="53"/>
      <c r="D159" s="53"/>
      <c r="E159" s="53"/>
      <c r="F159" s="53"/>
    </row>
    <row r="160">
      <c r="A160" s="9" t="s">
        <v>4</v>
      </c>
      <c r="B160" s="9" t="s">
        <v>5</v>
      </c>
      <c r="C160" s="9" t="s">
        <v>6</v>
      </c>
      <c r="D160" s="9" t="s">
        <v>7</v>
      </c>
      <c r="E160" s="9" t="s">
        <v>8</v>
      </c>
      <c r="F160" s="9" t="s">
        <v>9</v>
      </c>
    </row>
    <row r="161">
      <c r="A161" s="13">
        <v>1.0</v>
      </c>
      <c r="B161" s="54" t="s">
        <v>101</v>
      </c>
      <c r="C161" s="55">
        <v>46082.0</v>
      </c>
      <c r="D161" s="22">
        <v>1162.9</v>
      </c>
      <c r="E161" s="56"/>
      <c r="F161" s="28"/>
    </row>
    <row r="162">
      <c r="A162" s="30" t="s">
        <v>32</v>
      </c>
      <c r="B162" s="31"/>
      <c r="C162" s="32"/>
      <c r="D162" s="24">
        <f>round(D161*(1+10%),2)</f>
        <v>1279.19</v>
      </c>
      <c r="E162" s="57"/>
      <c r="F162" s="28"/>
    </row>
    <row r="163">
      <c r="A163" s="30" t="s">
        <v>24</v>
      </c>
      <c r="B163" s="31"/>
      <c r="C163" s="32"/>
      <c r="D163" s="24">
        <f>round(D162*10%,2)</f>
        <v>127.92</v>
      </c>
      <c r="E163" s="57"/>
      <c r="F163" s="28"/>
    </row>
    <row r="164">
      <c r="A164" s="33" t="s">
        <v>9</v>
      </c>
      <c r="B164" s="31"/>
      <c r="C164" s="32"/>
      <c r="D164" s="39">
        <f>D162-D163</f>
        <v>1151.27</v>
      </c>
      <c r="E164" s="90">
        <v>26357.0</v>
      </c>
      <c r="F164" s="41">
        <f>round(D164*E164,0)</f>
        <v>30344023</v>
      </c>
    </row>
    <row r="165">
      <c r="A165" s="33" t="s">
        <v>26</v>
      </c>
      <c r="B165" s="31"/>
      <c r="C165" s="32"/>
      <c r="D165" s="39"/>
      <c r="E165" s="90"/>
      <c r="F165" s="41">
        <f>round(F164*10%,0)</f>
        <v>3034402</v>
      </c>
    </row>
    <row r="166">
      <c r="A166" s="33" t="s">
        <v>16</v>
      </c>
      <c r="B166" s="31"/>
      <c r="C166" s="32"/>
      <c r="D166" s="39"/>
      <c r="E166" s="90"/>
      <c r="F166" s="41">
        <f>F164+F165</f>
        <v>33378425</v>
      </c>
    </row>
    <row r="171">
      <c r="A171" s="52" t="s">
        <v>100</v>
      </c>
    </row>
    <row r="172">
      <c r="A172" s="53"/>
      <c r="B172" s="53"/>
      <c r="C172" s="53"/>
      <c r="D172" s="53"/>
      <c r="E172" s="53"/>
      <c r="F172" s="53"/>
    </row>
    <row r="173">
      <c r="A173" s="9" t="s">
        <v>4</v>
      </c>
      <c r="B173" s="9" t="s">
        <v>5</v>
      </c>
      <c r="C173" s="9" t="s">
        <v>6</v>
      </c>
      <c r="D173" s="9" t="s">
        <v>7</v>
      </c>
      <c r="E173" s="9" t="s">
        <v>8</v>
      </c>
      <c r="F173" s="9" t="s">
        <v>9</v>
      </c>
    </row>
    <row r="174">
      <c r="A174" s="13">
        <v>1.0</v>
      </c>
      <c r="B174" s="54" t="s">
        <v>101</v>
      </c>
      <c r="C174" s="55">
        <v>46113.0</v>
      </c>
      <c r="D174" s="22">
        <v>1019.57</v>
      </c>
      <c r="E174" s="56"/>
      <c r="F174" s="28"/>
    </row>
    <row r="175">
      <c r="A175" s="30" t="s">
        <v>32</v>
      </c>
      <c r="B175" s="31"/>
      <c r="C175" s="32"/>
      <c r="D175" s="24">
        <f>round(D174*(1+10%),2)</f>
        <v>1121.53</v>
      </c>
      <c r="E175" s="57"/>
      <c r="F175" s="28"/>
    </row>
    <row r="176">
      <c r="A176" s="30" t="s">
        <v>24</v>
      </c>
      <c r="B176" s="31"/>
      <c r="C176" s="32"/>
      <c r="D176" s="24">
        <f>round(D175*10%,2)</f>
        <v>112.15</v>
      </c>
      <c r="E176" s="57"/>
      <c r="F176" s="28"/>
    </row>
    <row r="177">
      <c r="A177" s="33" t="s">
        <v>9</v>
      </c>
      <c r="B177" s="31"/>
      <c r="C177" s="32"/>
      <c r="D177" s="39">
        <f>D175-D176</f>
        <v>1009.38</v>
      </c>
      <c r="E177" s="90">
        <v>26368.0</v>
      </c>
      <c r="F177" s="41">
        <f>round(D177*E177,0)</f>
        <v>26615332</v>
      </c>
    </row>
    <row r="178">
      <c r="A178" s="33" t="s">
        <v>26</v>
      </c>
      <c r="B178" s="31"/>
      <c r="C178" s="32"/>
      <c r="D178" s="39"/>
      <c r="E178" s="90"/>
      <c r="F178" s="41">
        <f>round(F177*10%,0)</f>
        <v>2661533</v>
      </c>
    </row>
    <row r="179">
      <c r="A179" s="33" t="s">
        <v>16</v>
      </c>
      <c r="B179" s="31"/>
      <c r="C179" s="32"/>
      <c r="D179" s="39"/>
      <c r="E179" s="90"/>
      <c r="F179" s="41">
        <f>F177+F178</f>
        <v>29276865</v>
      </c>
    </row>
    <row r="185">
      <c r="A185" s="52" t="s">
        <v>100</v>
      </c>
    </row>
    <row r="186">
      <c r="A186" s="53"/>
      <c r="B186" s="53"/>
      <c r="C186" s="53"/>
      <c r="D186" s="53"/>
      <c r="E186" s="53"/>
      <c r="F186" s="53"/>
    </row>
    <row r="187">
      <c r="A187" s="9" t="s">
        <v>4</v>
      </c>
      <c r="B187" s="9" t="s">
        <v>5</v>
      </c>
      <c r="C187" s="9" t="s">
        <v>6</v>
      </c>
      <c r="D187" s="9" t="s">
        <v>7</v>
      </c>
      <c r="E187" s="9" t="s">
        <v>8</v>
      </c>
      <c r="F187" s="9" t="s">
        <v>9</v>
      </c>
    </row>
    <row r="188">
      <c r="A188" s="13">
        <v>1.0</v>
      </c>
      <c r="B188" s="54" t="s">
        <v>101</v>
      </c>
      <c r="C188" s="55">
        <v>46143.0</v>
      </c>
      <c r="D188" s="22">
        <v>992.53</v>
      </c>
      <c r="E188" s="56"/>
      <c r="F188" s="28"/>
    </row>
    <row r="189">
      <c r="A189" s="30" t="s">
        <v>32</v>
      </c>
      <c r="B189" s="31"/>
      <c r="C189" s="32"/>
      <c r="D189" s="24">
        <f>round(D188*(1+10%),2)</f>
        <v>1091.78</v>
      </c>
      <c r="E189" s="57"/>
      <c r="F189" s="28"/>
    </row>
    <row r="190">
      <c r="A190" s="30" t="s">
        <v>24</v>
      </c>
      <c r="B190" s="31"/>
      <c r="C190" s="32"/>
      <c r="D190" s="24">
        <f>round(D189*10%,2)</f>
        <v>109.18</v>
      </c>
      <c r="E190" s="57"/>
      <c r="F190" s="28"/>
    </row>
    <row r="191">
      <c r="A191" s="33" t="s">
        <v>9</v>
      </c>
      <c r="B191" s="31"/>
      <c r="C191" s="32"/>
      <c r="D191" s="39">
        <f>D189-D190</f>
        <v>982.6</v>
      </c>
      <c r="E191" s="90">
        <v>26395.0</v>
      </c>
      <c r="F191" s="41">
        <f>round(D191*E191,0)</f>
        <v>25935727</v>
      </c>
    </row>
    <row r="192">
      <c r="A192" s="33" t="s">
        <v>26</v>
      </c>
      <c r="B192" s="31"/>
      <c r="C192" s="32"/>
      <c r="D192" s="39"/>
      <c r="E192" s="90"/>
      <c r="F192" s="41">
        <f>round(F191*10%,0)</f>
        <v>2593573</v>
      </c>
    </row>
    <row r="193">
      <c r="A193" s="33" t="s">
        <v>16</v>
      </c>
      <c r="B193" s="31"/>
      <c r="C193" s="32"/>
      <c r="D193" s="39"/>
      <c r="E193" s="90"/>
      <c r="F193" s="41">
        <f>F191+F192</f>
        <v>28529300</v>
      </c>
    </row>
    <row r="198">
      <c r="A198" s="52" t="s">
        <v>100</v>
      </c>
    </row>
    <row r="199">
      <c r="A199" s="53"/>
      <c r="B199" s="53"/>
      <c r="C199" s="53"/>
      <c r="D199" s="53"/>
      <c r="E199" s="53"/>
      <c r="F199" s="53"/>
    </row>
    <row r="200">
      <c r="A200" s="9" t="s">
        <v>4</v>
      </c>
      <c r="B200" s="9" t="s">
        <v>5</v>
      </c>
      <c r="C200" s="9" t="s">
        <v>6</v>
      </c>
      <c r="D200" s="9" t="s">
        <v>7</v>
      </c>
      <c r="E200" s="9" t="s">
        <v>8</v>
      </c>
      <c r="F200" s="9" t="s">
        <v>9</v>
      </c>
    </row>
    <row r="201">
      <c r="A201" s="13">
        <v>1.0</v>
      </c>
      <c r="B201" s="54" t="s">
        <v>101</v>
      </c>
      <c r="C201" s="55">
        <v>46174.0</v>
      </c>
      <c r="D201" s="22">
        <v>994.39</v>
      </c>
      <c r="E201" s="56"/>
      <c r="F201" s="28"/>
    </row>
    <row r="202">
      <c r="A202" s="30" t="s">
        <v>32</v>
      </c>
      <c r="B202" s="31"/>
      <c r="C202" s="32"/>
      <c r="D202" s="24">
        <f>round(D201*(1+10%),2)</f>
        <v>1093.83</v>
      </c>
      <c r="E202" s="57"/>
      <c r="F202" s="28"/>
    </row>
    <row r="203">
      <c r="A203" s="30" t="s">
        <v>24</v>
      </c>
      <c r="B203" s="31"/>
      <c r="C203" s="32"/>
      <c r="D203" s="24">
        <f>round(D202*10%,2)</f>
        <v>109.38</v>
      </c>
      <c r="E203" s="57"/>
      <c r="F203" s="28"/>
    </row>
    <row r="204">
      <c r="A204" s="33" t="s">
        <v>9</v>
      </c>
      <c r="B204" s="31"/>
      <c r="C204" s="32"/>
      <c r="D204" s="39">
        <f>D202-D203</f>
        <v>984.45</v>
      </c>
      <c r="E204" s="90">
        <v>26466.0</v>
      </c>
      <c r="F204" s="41">
        <f>round(D204*E204,0)</f>
        <v>26054454</v>
      </c>
    </row>
    <row r="205">
      <c r="A205" s="33" t="s">
        <v>26</v>
      </c>
      <c r="B205" s="31"/>
      <c r="C205" s="32"/>
      <c r="D205" s="39"/>
      <c r="E205" s="90"/>
      <c r="F205" s="41">
        <f>round(F204*10%,0)</f>
        <v>2605445</v>
      </c>
    </row>
    <row r="206">
      <c r="A206" s="33" t="s">
        <v>16</v>
      </c>
      <c r="B206" s="31"/>
      <c r="C206" s="32"/>
      <c r="D206" s="39"/>
      <c r="E206" s="90"/>
      <c r="F206" s="41">
        <f>F204+F205</f>
        <v>28659899</v>
      </c>
    </row>
    <row r="212">
      <c r="A212" s="52" t="s">
        <v>100</v>
      </c>
    </row>
    <row r="213">
      <c r="A213" s="53"/>
      <c r="B213" s="53"/>
      <c r="C213" s="53"/>
      <c r="D213" s="53"/>
      <c r="E213" s="53"/>
      <c r="F213" s="53"/>
    </row>
    <row r="214">
      <c r="A214" s="9" t="s">
        <v>4</v>
      </c>
      <c r="B214" s="9" t="s">
        <v>5</v>
      </c>
      <c r="C214" s="9" t="s">
        <v>6</v>
      </c>
      <c r="D214" s="9" t="s">
        <v>7</v>
      </c>
      <c r="E214" s="9" t="s">
        <v>8</v>
      </c>
      <c r="F214" s="9" t="s">
        <v>9</v>
      </c>
    </row>
    <row r="215">
      <c r="A215" s="13">
        <v>1.0</v>
      </c>
      <c r="B215" s="54" t="s">
        <v>101</v>
      </c>
      <c r="C215" s="55">
        <v>46204.0</v>
      </c>
      <c r="D215" s="22">
        <v>790.4</v>
      </c>
      <c r="E215" s="56"/>
      <c r="F215" s="28"/>
    </row>
    <row r="216">
      <c r="A216" s="30" t="s">
        <v>32</v>
      </c>
      <c r="B216" s="31"/>
      <c r="C216" s="32"/>
      <c r="D216" s="24">
        <f>round(D215*(1+10%),2)</f>
        <v>869.44</v>
      </c>
      <c r="E216" s="57"/>
      <c r="F216" s="28"/>
    </row>
    <row r="217">
      <c r="A217" s="30" t="s">
        <v>24</v>
      </c>
      <c r="B217" s="31"/>
      <c r="C217" s="32"/>
      <c r="D217" s="24">
        <f>round(D216*10%,2)</f>
        <v>86.94</v>
      </c>
      <c r="E217" s="57"/>
      <c r="F217" s="28"/>
    </row>
    <row r="218">
      <c r="A218" s="33" t="s">
        <v>9</v>
      </c>
      <c r="B218" s="31"/>
      <c r="C218" s="32"/>
      <c r="D218" s="39">
        <f>D216-D217</f>
        <v>782.5</v>
      </c>
      <c r="E218" s="90">
        <v>26475.0</v>
      </c>
      <c r="F218" s="41">
        <f>round(D218*E218,0)</f>
        <v>20716688</v>
      </c>
    </row>
    <row r="219">
      <c r="A219" s="33" t="s">
        <v>26</v>
      </c>
      <c r="B219" s="31"/>
      <c r="C219" s="32"/>
      <c r="D219" s="39"/>
      <c r="E219" s="90"/>
      <c r="F219" s="41">
        <f>round(F218*10%,0)</f>
        <v>2071669</v>
      </c>
    </row>
    <row r="220">
      <c r="A220" s="33" t="s">
        <v>16</v>
      </c>
      <c r="B220" s="31"/>
      <c r="C220" s="32"/>
      <c r="D220" s="39"/>
      <c r="E220" s="90"/>
      <c r="F220" s="41">
        <f>F218+F219</f>
        <v>22788357</v>
      </c>
    </row>
  </sheetData>
  <mergeCells count="102">
    <mergeCell ref="A107:C107"/>
    <mergeCell ref="A108:C108"/>
    <mergeCell ref="A109:C109"/>
    <mergeCell ref="A110:C110"/>
    <mergeCell ref="A111:C111"/>
    <mergeCell ref="A117:F117"/>
    <mergeCell ref="A121:C121"/>
    <mergeCell ref="A122:C122"/>
    <mergeCell ref="A123:C123"/>
    <mergeCell ref="A124:C124"/>
    <mergeCell ref="A125:C125"/>
    <mergeCell ref="A131:F131"/>
    <mergeCell ref="A135:C135"/>
    <mergeCell ref="A136:C136"/>
    <mergeCell ref="A137:C137"/>
    <mergeCell ref="A138:C138"/>
    <mergeCell ref="A139:C139"/>
    <mergeCell ref="A144:F144"/>
    <mergeCell ref="A148:C148"/>
    <mergeCell ref="A149:C149"/>
    <mergeCell ref="A150:C150"/>
    <mergeCell ref="A151:C151"/>
    <mergeCell ref="A152:C152"/>
    <mergeCell ref="A158:F158"/>
    <mergeCell ref="A162:C162"/>
    <mergeCell ref="A163:C163"/>
    <mergeCell ref="A164:C164"/>
    <mergeCell ref="A165:C165"/>
    <mergeCell ref="A166:C166"/>
    <mergeCell ref="A171:F171"/>
    <mergeCell ref="A175:C175"/>
    <mergeCell ref="A176:C176"/>
    <mergeCell ref="A177:C177"/>
    <mergeCell ref="A178:C178"/>
    <mergeCell ref="A179:C179"/>
    <mergeCell ref="A185:F185"/>
    <mergeCell ref="A189:C189"/>
    <mergeCell ref="A190:C190"/>
    <mergeCell ref="A191:C191"/>
    <mergeCell ref="A192:C192"/>
    <mergeCell ref="A193:C193"/>
    <mergeCell ref="A198:F198"/>
    <mergeCell ref="A217:C217"/>
    <mergeCell ref="A218:C218"/>
    <mergeCell ref="A219:C219"/>
    <mergeCell ref="A220:C220"/>
    <mergeCell ref="A202:C202"/>
    <mergeCell ref="A203:C203"/>
    <mergeCell ref="A204:C204"/>
    <mergeCell ref="A205:C205"/>
    <mergeCell ref="A206:C206"/>
    <mergeCell ref="A212:F212"/>
    <mergeCell ref="A216:C216"/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49:F49"/>
    <mergeCell ref="A53:C53"/>
    <mergeCell ref="A54:C54"/>
    <mergeCell ref="A55:C55"/>
    <mergeCell ref="A56:C56"/>
    <mergeCell ref="A57:C57"/>
    <mergeCell ref="A62:F62"/>
    <mergeCell ref="A66:C66"/>
    <mergeCell ref="A67:C67"/>
    <mergeCell ref="A68:C68"/>
    <mergeCell ref="A69:C69"/>
    <mergeCell ref="A70:C70"/>
    <mergeCell ref="A76:F76"/>
    <mergeCell ref="A80:C80"/>
    <mergeCell ref="A81:C81"/>
    <mergeCell ref="A82:C82"/>
    <mergeCell ref="A83:C83"/>
    <mergeCell ref="A84:C84"/>
    <mergeCell ref="A90:F90"/>
    <mergeCell ref="A94:C94"/>
    <mergeCell ref="A95:C95"/>
    <mergeCell ref="A96:C96"/>
    <mergeCell ref="A97:C97"/>
    <mergeCell ref="A98:C98"/>
    <mergeCell ref="A103:F10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75"/>
    <col customWidth="1" min="2" max="2" width="52.63"/>
    <col customWidth="1" min="3" max="3" width="13.75"/>
    <col customWidth="1" min="4" max="4" width="19.75"/>
    <col customWidth="1" min="5" max="5" width="11.88"/>
    <col customWidth="1" min="6" max="6" width="19.25"/>
  </cols>
  <sheetData>
    <row r="1">
      <c r="A1" s="52" t="s">
        <v>102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103</v>
      </c>
      <c r="C4" s="55">
        <v>45717.0</v>
      </c>
      <c r="D4" s="22">
        <v>548.8</v>
      </c>
      <c r="E4" s="56"/>
      <c r="F4" s="28"/>
    </row>
    <row r="5">
      <c r="A5" s="30" t="s">
        <v>104</v>
      </c>
      <c r="B5" s="31"/>
      <c r="C5" s="32"/>
      <c r="D5" s="24">
        <f>round(D4*5.26%,2)</f>
        <v>28.87</v>
      </c>
      <c r="E5" s="57"/>
      <c r="F5" s="28"/>
    </row>
    <row r="6">
      <c r="A6" s="30" t="s">
        <v>24</v>
      </c>
      <c r="B6" s="31"/>
      <c r="C6" s="32"/>
      <c r="D6" s="24">
        <f>round(D4*10%,2)</f>
        <v>54.88</v>
      </c>
      <c r="E6" s="57"/>
      <c r="F6" s="28"/>
    </row>
    <row r="7">
      <c r="A7" s="33" t="s">
        <v>9</v>
      </c>
      <c r="B7" s="31"/>
      <c r="C7" s="32"/>
      <c r="D7" s="39">
        <f>D4+D5-D6</f>
        <v>522.79</v>
      </c>
      <c r="E7" s="90">
        <v>25775.0</v>
      </c>
      <c r="F7" s="41">
        <f>round(D7*E7,0)</f>
        <v>13474912</v>
      </c>
    </row>
    <row r="8">
      <c r="A8" s="33" t="s">
        <v>26</v>
      </c>
      <c r="B8" s="31"/>
      <c r="C8" s="32"/>
      <c r="D8" s="39"/>
      <c r="E8" s="90"/>
      <c r="F8" s="41">
        <f>round(F7*10%,0)</f>
        <v>1347491</v>
      </c>
    </row>
    <row r="9">
      <c r="A9" s="33" t="s">
        <v>16</v>
      </c>
      <c r="B9" s="31"/>
      <c r="C9" s="32"/>
      <c r="D9" s="39"/>
      <c r="E9" s="90"/>
      <c r="F9" s="41">
        <f>F7+F8</f>
        <v>14822403</v>
      </c>
    </row>
    <row r="13">
      <c r="A13" s="52" t="s">
        <v>102</v>
      </c>
    </row>
    <row r="14">
      <c r="A14" s="53"/>
      <c r="B14" s="53"/>
      <c r="C14" s="53"/>
      <c r="D14" s="53"/>
      <c r="E14" s="53"/>
      <c r="F14" s="53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>
      <c r="A16" s="13">
        <v>1.0</v>
      </c>
      <c r="B16" s="54" t="s">
        <v>103</v>
      </c>
      <c r="C16" s="55">
        <v>45748.0</v>
      </c>
      <c r="D16" s="22">
        <v>548.85</v>
      </c>
      <c r="E16" s="56"/>
      <c r="F16" s="28"/>
    </row>
    <row r="17">
      <c r="A17" s="30" t="s">
        <v>104</v>
      </c>
      <c r="B17" s="31"/>
      <c r="C17" s="32"/>
      <c r="D17" s="24">
        <f>round(D16*5.26%,2)</f>
        <v>28.87</v>
      </c>
      <c r="E17" s="57"/>
      <c r="F17" s="28"/>
    </row>
    <row r="18">
      <c r="A18" s="30" t="s">
        <v>24</v>
      </c>
      <c r="B18" s="31"/>
      <c r="C18" s="32"/>
      <c r="D18" s="24">
        <f>round(D16*10%,2)</f>
        <v>54.89</v>
      </c>
      <c r="E18" s="57"/>
      <c r="F18" s="28"/>
    </row>
    <row r="19">
      <c r="A19" s="33" t="s">
        <v>9</v>
      </c>
      <c r="B19" s="31"/>
      <c r="C19" s="32"/>
      <c r="D19" s="39">
        <f>D16+D17-D18</f>
        <v>522.83</v>
      </c>
      <c r="E19" s="90">
        <v>26190.0</v>
      </c>
      <c r="F19" s="41">
        <f>round(D19*E19,0)</f>
        <v>13692918</v>
      </c>
    </row>
    <row r="20">
      <c r="A20" s="33" t="s">
        <v>26</v>
      </c>
      <c r="B20" s="31"/>
      <c r="C20" s="32"/>
      <c r="D20" s="39"/>
      <c r="E20" s="90"/>
      <c r="F20" s="41">
        <f>round(F19*10%,0)</f>
        <v>1369292</v>
      </c>
    </row>
    <row r="21">
      <c r="A21" s="33" t="s">
        <v>16</v>
      </c>
      <c r="B21" s="31"/>
      <c r="C21" s="32"/>
      <c r="D21" s="39"/>
      <c r="E21" s="90"/>
      <c r="F21" s="41">
        <f>F19+F20</f>
        <v>15062210</v>
      </c>
    </row>
    <row r="25">
      <c r="A25" s="52" t="s">
        <v>102</v>
      </c>
    </row>
    <row r="26">
      <c r="A26" s="53"/>
      <c r="B26" s="53"/>
      <c r="C26" s="53"/>
      <c r="D26" s="53"/>
      <c r="E26" s="53"/>
      <c r="F26" s="53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</row>
    <row r="28">
      <c r="A28" s="13">
        <v>1.0</v>
      </c>
      <c r="B28" s="54" t="s">
        <v>103</v>
      </c>
      <c r="C28" s="55">
        <v>45778.0</v>
      </c>
      <c r="D28" s="22">
        <v>548.9</v>
      </c>
      <c r="E28" s="56"/>
      <c r="F28" s="28"/>
    </row>
    <row r="29">
      <c r="A29" s="30" t="s">
        <v>104</v>
      </c>
      <c r="B29" s="31"/>
      <c r="C29" s="32"/>
      <c r="D29" s="24">
        <f>round(D28*5.26%,2)</f>
        <v>28.87</v>
      </c>
      <c r="E29" s="57"/>
      <c r="F29" s="28"/>
    </row>
    <row r="30">
      <c r="A30" s="30" t="s">
        <v>24</v>
      </c>
      <c r="B30" s="31"/>
      <c r="C30" s="32"/>
      <c r="D30" s="24">
        <f>round(D28*10%,2)</f>
        <v>54.89</v>
      </c>
      <c r="E30" s="57"/>
      <c r="F30" s="28"/>
    </row>
    <row r="31">
      <c r="A31" s="33" t="s">
        <v>9</v>
      </c>
      <c r="B31" s="31"/>
      <c r="C31" s="32"/>
      <c r="D31" s="39">
        <f>D28+D29-D30</f>
        <v>522.88</v>
      </c>
      <c r="E31" s="90">
        <v>26225.0</v>
      </c>
      <c r="F31" s="41">
        <f>round(D31*E31,0)</f>
        <v>13712528</v>
      </c>
    </row>
    <row r="32">
      <c r="A32" s="33" t="s">
        <v>26</v>
      </c>
      <c r="B32" s="31"/>
      <c r="C32" s="32"/>
      <c r="D32" s="39"/>
      <c r="E32" s="90"/>
      <c r="F32" s="41">
        <f>round(F31*10%,0)</f>
        <v>1371253</v>
      </c>
    </row>
    <row r="33">
      <c r="A33" s="33" t="s">
        <v>16</v>
      </c>
      <c r="B33" s="31"/>
      <c r="C33" s="32"/>
      <c r="D33" s="39"/>
      <c r="E33" s="90"/>
      <c r="F33" s="41">
        <f>F31+F32</f>
        <v>15083781</v>
      </c>
    </row>
    <row r="37">
      <c r="A37" s="52" t="s">
        <v>102</v>
      </c>
    </row>
    <row r="38">
      <c r="A38" s="53"/>
      <c r="B38" s="53"/>
      <c r="C38" s="53"/>
      <c r="D38" s="53"/>
      <c r="E38" s="53"/>
      <c r="F38" s="53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</row>
    <row r="40">
      <c r="A40" s="13">
        <v>1.0</v>
      </c>
      <c r="B40" s="54" t="s">
        <v>103</v>
      </c>
      <c r="C40" s="55">
        <v>45809.0</v>
      </c>
      <c r="D40" s="22">
        <v>548.95</v>
      </c>
      <c r="E40" s="56"/>
      <c r="F40" s="28"/>
    </row>
    <row r="41">
      <c r="A41" s="30" t="s">
        <v>104</v>
      </c>
      <c r="B41" s="31"/>
      <c r="C41" s="32"/>
      <c r="D41" s="24">
        <f>round(D40*5.26%,2)</f>
        <v>28.87</v>
      </c>
      <c r="E41" s="57"/>
      <c r="F41" s="28"/>
    </row>
    <row r="42">
      <c r="A42" s="30" t="s">
        <v>24</v>
      </c>
      <c r="B42" s="31"/>
      <c r="C42" s="32"/>
      <c r="D42" s="24">
        <f>round(D40*10%,2)</f>
        <v>54.9</v>
      </c>
      <c r="E42" s="57"/>
      <c r="F42" s="28"/>
    </row>
    <row r="43">
      <c r="A43" s="33" t="s">
        <v>9</v>
      </c>
      <c r="B43" s="31"/>
      <c r="C43" s="32"/>
      <c r="D43" s="39">
        <f>D40+D41-D42</f>
        <v>522.92</v>
      </c>
      <c r="E43" s="90">
        <v>26300.0</v>
      </c>
      <c r="F43" s="41">
        <f>round(D43*E43,0)</f>
        <v>13752796</v>
      </c>
    </row>
    <row r="44">
      <c r="A44" s="33" t="s">
        <v>26</v>
      </c>
      <c r="B44" s="31"/>
      <c r="C44" s="32"/>
      <c r="D44" s="39"/>
      <c r="E44" s="90"/>
      <c r="F44" s="41">
        <f>round(F43*10%,0)</f>
        <v>1375280</v>
      </c>
    </row>
    <row r="45">
      <c r="A45" s="33" t="s">
        <v>16</v>
      </c>
      <c r="B45" s="31"/>
      <c r="C45" s="32"/>
      <c r="D45" s="39"/>
      <c r="E45" s="90"/>
      <c r="F45" s="41">
        <f>F43+F44</f>
        <v>15128076</v>
      </c>
    </row>
    <row r="49">
      <c r="A49" s="52" t="s">
        <v>102</v>
      </c>
    </row>
    <row r="50">
      <c r="A50" s="53"/>
      <c r="B50" s="53"/>
      <c r="C50" s="53"/>
      <c r="D50" s="53"/>
      <c r="E50" s="53"/>
      <c r="F50" s="53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</row>
    <row r="52">
      <c r="A52" s="13">
        <v>1.0</v>
      </c>
      <c r="B52" s="54" t="s">
        <v>103</v>
      </c>
      <c r="C52" s="55">
        <v>45839.0</v>
      </c>
      <c r="D52" s="22">
        <v>549.0</v>
      </c>
      <c r="E52" s="56"/>
      <c r="F52" s="28"/>
    </row>
    <row r="53">
      <c r="A53" s="30" t="s">
        <v>106</v>
      </c>
      <c r="B53" s="31"/>
      <c r="C53" s="32"/>
      <c r="D53" s="24">
        <f>round(D52*10%,2)</f>
        <v>54.9</v>
      </c>
      <c r="E53" s="57"/>
      <c r="F53" s="28"/>
    </row>
    <row r="54">
      <c r="A54" s="30" t="s">
        <v>24</v>
      </c>
      <c r="B54" s="31"/>
      <c r="C54" s="32"/>
      <c r="D54" s="24">
        <f>round(D52*10%,2)</f>
        <v>54.9</v>
      </c>
      <c r="E54" s="57"/>
      <c r="F54" s="28"/>
    </row>
    <row r="55">
      <c r="A55" s="33" t="s">
        <v>9</v>
      </c>
      <c r="B55" s="31"/>
      <c r="C55" s="32"/>
      <c r="D55" s="39">
        <f>D52+D53-D54</f>
        <v>549</v>
      </c>
      <c r="E55" s="90">
        <v>26382.0</v>
      </c>
      <c r="F55" s="41">
        <f>round(D55*E55,0)</f>
        <v>14483718</v>
      </c>
    </row>
    <row r="56">
      <c r="A56" s="33" t="s">
        <v>26</v>
      </c>
      <c r="B56" s="31"/>
      <c r="C56" s="32"/>
      <c r="D56" s="39"/>
      <c r="E56" s="90"/>
      <c r="F56" s="41">
        <f>round(F55*10%,0)</f>
        <v>1448372</v>
      </c>
    </row>
    <row r="57">
      <c r="A57" s="33" t="s">
        <v>16</v>
      </c>
      <c r="B57" s="31"/>
      <c r="C57" s="32"/>
      <c r="D57" s="39"/>
      <c r="E57" s="90"/>
      <c r="F57" s="41">
        <f>F55+F56</f>
        <v>15932090</v>
      </c>
    </row>
    <row r="62">
      <c r="A62" s="52" t="s">
        <v>102</v>
      </c>
    </row>
    <row r="63">
      <c r="A63" s="53"/>
      <c r="B63" s="53"/>
      <c r="C63" s="53"/>
      <c r="D63" s="53"/>
      <c r="E63" s="53"/>
      <c r="F63" s="53"/>
    </row>
    <row r="64">
      <c r="A64" s="9" t="s">
        <v>4</v>
      </c>
      <c r="B64" s="9" t="s">
        <v>5</v>
      </c>
      <c r="C64" s="9" t="s">
        <v>6</v>
      </c>
      <c r="D64" s="9" t="s">
        <v>7</v>
      </c>
      <c r="E64" s="9" t="s">
        <v>8</v>
      </c>
      <c r="F64" s="9" t="s">
        <v>9</v>
      </c>
    </row>
    <row r="65">
      <c r="A65" s="13">
        <v>1.0</v>
      </c>
      <c r="B65" s="54" t="s">
        <v>103</v>
      </c>
      <c r="C65" s="55">
        <v>45870.0</v>
      </c>
      <c r="D65" s="22">
        <v>552.11</v>
      </c>
      <c r="E65" s="56"/>
      <c r="F65" s="28"/>
    </row>
    <row r="66">
      <c r="A66" s="30" t="s">
        <v>106</v>
      </c>
      <c r="B66" s="31"/>
      <c r="C66" s="32"/>
      <c r="D66" s="24">
        <f>round(D65*10%,2)</f>
        <v>55.21</v>
      </c>
      <c r="E66" s="57"/>
      <c r="F66" s="28"/>
    </row>
    <row r="67">
      <c r="A67" s="30" t="s">
        <v>24</v>
      </c>
      <c r="B67" s="31"/>
      <c r="C67" s="32"/>
      <c r="D67" s="24">
        <f>round(D65*10%,2)</f>
        <v>55.21</v>
      </c>
      <c r="E67" s="57"/>
      <c r="F67" s="28"/>
    </row>
    <row r="68">
      <c r="A68" s="33" t="s">
        <v>9</v>
      </c>
      <c r="B68" s="31"/>
      <c r="C68" s="32"/>
      <c r="D68" s="39">
        <f>D65+D66-D67</f>
        <v>552.11</v>
      </c>
      <c r="E68" s="90">
        <v>26502.0</v>
      </c>
      <c r="F68" s="41">
        <f>round(D68*E68,0)</f>
        <v>14632019</v>
      </c>
    </row>
    <row r="69">
      <c r="A69" s="33" t="s">
        <v>26</v>
      </c>
      <c r="B69" s="31"/>
      <c r="C69" s="32"/>
      <c r="D69" s="39"/>
      <c r="E69" s="90"/>
      <c r="F69" s="41">
        <f>round(F68*10%,0)</f>
        <v>1463202</v>
      </c>
    </row>
    <row r="70">
      <c r="A70" s="33" t="s">
        <v>16</v>
      </c>
      <c r="B70" s="31"/>
      <c r="C70" s="32"/>
      <c r="D70" s="39"/>
      <c r="E70" s="90"/>
      <c r="F70" s="41">
        <f>F68+F69</f>
        <v>16095221</v>
      </c>
    </row>
    <row r="75">
      <c r="A75" s="52" t="s">
        <v>102</v>
      </c>
    </row>
    <row r="76">
      <c r="A76" s="53"/>
      <c r="B76" s="53"/>
      <c r="C76" s="53"/>
      <c r="D76" s="53"/>
      <c r="E76" s="53"/>
      <c r="F76" s="53"/>
    </row>
    <row r="77">
      <c r="A77" s="9" t="s">
        <v>4</v>
      </c>
      <c r="B77" s="9" t="s">
        <v>5</v>
      </c>
      <c r="C77" s="9" t="s">
        <v>6</v>
      </c>
      <c r="D77" s="9" t="s">
        <v>7</v>
      </c>
      <c r="E77" s="9" t="s">
        <v>8</v>
      </c>
      <c r="F77" s="9" t="s">
        <v>9</v>
      </c>
    </row>
    <row r="78">
      <c r="A78" s="13">
        <v>1.0</v>
      </c>
      <c r="B78" s="54" t="s">
        <v>103</v>
      </c>
      <c r="C78" s="55">
        <v>45901.0</v>
      </c>
      <c r="D78" s="22">
        <v>557.5</v>
      </c>
      <c r="E78" s="56"/>
      <c r="F78" s="28"/>
    </row>
    <row r="79">
      <c r="A79" s="30" t="s">
        <v>106</v>
      </c>
      <c r="B79" s="31"/>
      <c r="C79" s="32"/>
      <c r="D79" s="24">
        <f>round(D78*10%,2)</f>
        <v>55.75</v>
      </c>
      <c r="E79" s="57"/>
      <c r="F79" s="28"/>
    </row>
    <row r="80">
      <c r="A80" s="30" t="s">
        <v>24</v>
      </c>
      <c r="B80" s="31"/>
      <c r="C80" s="32"/>
      <c r="D80" s="24">
        <f>round(D78*10%,2)</f>
        <v>55.75</v>
      </c>
      <c r="E80" s="57"/>
      <c r="F80" s="28"/>
    </row>
    <row r="81">
      <c r="A81" s="33" t="s">
        <v>9</v>
      </c>
      <c r="B81" s="31"/>
      <c r="C81" s="32"/>
      <c r="D81" s="39">
        <f>D78+D79-D80</f>
        <v>557.5</v>
      </c>
      <c r="E81" s="90">
        <v>26446.0</v>
      </c>
      <c r="F81" s="41">
        <f>round(D81*E81,0)</f>
        <v>14743645</v>
      </c>
    </row>
    <row r="82">
      <c r="A82" s="33" t="s">
        <v>26</v>
      </c>
      <c r="B82" s="31"/>
      <c r="C82" s="32"/>
      <c r="D82" s="39"/>
      <c r="E82" s="90"/>
      <c r="F82" s="41">
        <f>round(F81*10%,0)</f>
        <v>1474365</v>
      </c>
    </row>
    <row r="83">
      <c r="A83" s="33" t="s">
        <v>16</v>
      </c>
      <c r="B83" s="31"/>
      <c r="C83" s="32"/>
      <c r="D83" s="39"/>
      <c r="E83" s="90"/>
      <c r="F83" s="41">
        <f>F81+F82</f>
        <v>16218010</v>
      </c>
    </row>
    <row r="89">
      <c r="A89" s="52" t="s">
        <v>102</v>
      </c>
    </row>
    <row r="90">
      <c r="A90" s="53"/>
      <c r="B90" s="53"/>
      <c r="C90" s="53"/>
      <c r="D90" s="53"/>
      <c r="E90" s="53"/>
      <c r="F90" s="53"/>
    </row>
    <row r="91">
      <c r="A91" s="9" t="s">
        <v>4</v>
      </c>
      <c r="B91" s="9" t="s">
        <v>5</v>
      </c>
      <c r="C91" s="9" t="s">
        <v>6</v>
      </c>
      <c r="D91" s="9" t="s">
        <v>7</v>
      </c>
      <c r="E91" s="9" t="s">
        <v>8</v>
      </c>
      <c r="F91" s="9" t="s">
        <v>9</v>
      </c>
    </row>
    <row r="92">
      <c r="A92" s="13">
        <v>1.0</v>
      </c>
      <c r="B92" s="54" t="s">
        <v>103</v>
      </c>
      <c r="C92" s="55">
        <v>45931.0</v>
      </c>
      <c r="D92" s="22">
        <v>519.68</v>
      </c>
      <c r="E92" s="56"/>
      <c r="F92" s="28"/>
    </row>
    <row r="93">
      <c r="A93" s="30" t="s">
        <v>106</v>
      </c>
      <c r="B93" s="31"/>
      <c r="C93" s="32"/>
      <c r="D93" s="24">
        <f>round(D92*10%,2)</f>
        <v>51.97</v>
      </c>
      <c r="E93" s="57"/>
      <c r="F93" s="28"/>
    </row>
    <row r="94">
      <c r="A94" s="30" t="s">
        <v>24</v>
      </c>
      <c r="B94" s="31"/>
      <c r="C94" s="32"/>
      <c r="D94" s="24">
        <f>round(D92*10%,2)</f>
        <v>51.97</v>
      </c>
      <c r="E94" s="57"/>
      <c r="F94" s="28"/>
    </row>
    <row r="95">
      <c r="A95" s="33" t="s">
        <v>9</v>
      </c>
      <c r="B95" s="31"/>
      <c r="C95" s="32"/>
      <c r="D95" s="39">
        <f>D92+D93-D94</f>
        <v>519.68</v>
      </c>
      <c r="E95" s="90">
        <v>26347.0</v>
      </c>
      <c r="F95" s="41">
        <f>round(D95*E95,0)</f>
        <v>13692009</v>
      </c>
    </row>
    <row r="96">
      <c r="A96" s="33" t="s">
        <v>26</v>
      </c>
      <c r="B96" s="31"/>
      <c r="C96" s="32"/>
      <c r="D96" s="39"/>
      <c r="E96" s="90"/>
      <c r="F96" s="41">
        <f>round(F95*10%,0)</f>
        <v>1369201</v>
      </c>
    </row>
    <row r="97">
      <c r="A97" s="33" t="s">
        <v>16</v>
      </c>
      <c r="B97" s="31"/>
      <c r="C97" s="32"/>
      <c r="D97" s="39"/>
      <c r="E97" s="90"/>
      <c r="F97" s="41">
        <f>F95+F96</f>
        <v>15061210</v>
      </c>
    </row>
    <row r="102">
      <c r="A102" s="52" t="s">
        <v>102</v>
      </c>
    </row>
    <row r="103">
      <c r="A103" s="53"/>
      <c r="B103" s="53"/>
      <c r="C103" s="53"/>
      <c r="D103" s="53"/>
      <c r="E103" s="53"/>
      <c r="F103" s="53"/>
    </row>
    <row r="104">
      <c r="A104" s="9" t="s">
        <v>4</v>
      </c>
      <c r="B104" s="9" t="s">
        <v>5</v>
      </c>
      <c r="C104" s="9" t="s">
        <v>6</v>
      </c>
      <c r="D104" s="9" t="s">
        <v>7</v>
      </c>
      <c r="E104" s="9" t="s">
        <v>8</v>
      </c>
      <c r="F104" s="9" t="s">
        <v>9</v>
      </c>
    </row>
    <row r="105">
      <c r="A105" s="13">
        <v>1.0</v>
      </c>
      <c r="B105" s="54" t="s">
        <v>103</v>
      </c>
      <c r="C105" s="55">
        <v>45962.0</v>
      </c>
      <c r="D105" s="22">
        <v>404.76</v>
      </c>
      <c r="E105" s="56"/>
      <c r="F105" s="28"/>
    </row>
    <row r="106">
      <c r="A106" s="30" t="s">
        <v>106</v>
      </c>
      <c r="B106" s="31"/>
      <c r="C106" s="32"/>
      <c r="D106" s="24">
        <f>round(D105*10%,2)</f>
        <v>40.48</v>
      </c>
      <c r="E106" s="57"/>
      <c r="F106" s="28"/>
    </row>
    <row r="107">
      <c r="A107" s="30" t="s">
        <v>24</v>
      </c>
      <c r="B107" s="31"/>
      <c r="C107" s="32"/>
      <c r="D107" s="24">
        <f>round(D105*10%,2)</f>
        <v>40.48</v>
      </c>
      <c r="E107" s="57"/>
      <c r="F107" s="28"/>
    </row>
    <row r="108">
      <c r="A108" s="33" t="s">
        <v>9</v>
      </c>
      <c r="B108" s="31"/>
      <c r="C108" s="32"/>
      <c r="D108" s="39">
        <f>D105+D106-D107</f>
        <v>404.76</v>
      </c>
      <c r="E108" s="90">
        <v>26412.0</v>
      </c>
      <c r="F108" s="41">
        <f>round(D108*E108,0)</f>
        <v>10690521</v>
      </c>
    </row>
    <row r="109">
      <c r="A109" s="33" t="s">
        <v>26</v>
      </c>
      <c r="B109" s="31"/>
      <c r="C109" s="32"/>
      <c r="D109" s="39"/>
      <c r="E109" s="90"/>
      <c r="F109" s="41">
        <f>round(F108*10%,0)</f>
        <v>1069052</v>
      </c>
    </row>
    <row r="110">
      <c r="A110" s="33" t="s">
        <v>16</v>
      </c>
      <c r="B110" s="31"/>
      <c r="C110" s="32"/>
      <c r="D110" s="39"/>
      <c r="E110" s="90"/>
      <c r="F110" s="41">
        <f>F108+F109</f>
        <v>11759573</v>
      </c>
    </row>
    <row r="116">
      <c r="A116" s="52" t="s">
        <v>102</v>
      </c>
    </row>
    <row r="117">
      <c r="A117" s="53"/>
      <c r="B117" s="53"/>
      <c r="C117" s="53"/>
      <c r="D117" s="53"/>
      <c r="E117" s="53"/>
      <c r="F117" s="53"/>
    </row>
    <row r="118">
      <c r="A118" s="9" t="s">
        <v>4</v>
      </c>
      <c r="B118" s="9" t="s">
        <v>5</v>
      </c>
      <c r="C118" s="9" t="s">
        <v>6</v>
      </c>
      <c r="D118" s="9" t="s">
        <v>7</v>
      </c>
      <c r="E118" s="9" t="s">
        <v>8</v>
      </c>
      <c r="F118" s="9" t="s">
        <v>9</v>
      </c>
    </row>
    <row r="119">
      <c r="A119" s="13">
        <v>1.0</v>
      </c>
      <c r="B119" s="54" t="s">
        <v>103</v>
      </c>
      <c r="C119" s="55">
        <v>45992.0</v>
      </c>
      <c r="D119" s="22">
        <v>325.85</v>
      </c>
      <c r="E119" s="56"/>
      <c r="F119" s="28"/>
    </row>
    <row r="120">
      <c r="A120" s="30" t="s">
        <v>106</v>
      </c>
      <c r="B120" s="31"/>
      <c r="C120" s="32"/>
      <c r="D120" s="24">
        <f>round(D119*10%,2)</f>
        <v>32.59</v>
      </c>
      <c r="E120" s="57"/>
      <c r="F120" s="28"/>
    </row>
    <row r="121">
      <c r="A121" s="30" t="s">
        <v>24</v>
      </c>
      <c r="B121" s="31"/>
      <c r="C121" s="32"/>
      <c r="D121" s="24">
        <f>round(D119*10%,2)</f>
        <v>32.59</v>
      </c>
      <c r="E121" s="57"/>
      <c r="F121" s="28"/>
    </row>
    <row r="122">
      <c r="A122" s="33" t="s">
        <v>9</v>
      </c>
      <c r="B122" s="31"/>
      <c r="C122" s="32"/>
      <c r="D122" s="39">
        <f>D119+D120-D121</f>
        <v>325.85</v>
      </c>
      <c r="E122" s="90">
        <v>26377.0</v>
      </c>
      <c r="F122" s="41">
        <f>round(D122*E122,0)</f>
        <v>8594945</v>
      </c>
    </row>
    <row r="123">
      <c r="A123" s="33" t="s">
        <v>26</v>
      </c>
      <c r="B123" s="31"/>
      <c r="C123" s="32"/>
      <c r="D123" s="39"/>
      <c r="E123" s="90"/>
      <c r="F123" s="41">
        <f>round(F122*10%,0)</f>
        <v>859495</v>
      </c>
    </row>
    <row r="124">
      <c r="A124" s="33" t="s">
        <v>16</v>
      </c>
      <c r="B124" s="31"/>
      <c r="C124" s="32"/>
      <c r="D124" s="39"/>
      <c r="E124" s="90"/>
      <c r="F124" s="41">
        <f>F122+F123</f>
        <v>9454440</v>
      </c>
    </row>
    <row r="130">
      <c r="A130" s="52" t="s">
        <v>102</v>
      </c>
    </row>
    <row r="131">
      <c r="A131" s="53"/>
      <c r="B131" s="53"/>
      <c r="C131" s="53"/>
      <c r="D131" s="53"/>
      <c r="E131" s="53"/>
      <c r="F131" s="53"/>
    </row>
    <row r="132">
      <c r="A132" s="9" t="s">
        <v>4</v>
      </c>
      <c r="B132" s="9" t="s">
        <v>5</v>
      </c>
      <c r="C132" s="9" t="s">
        <v>6</v>
      </c>
      <c r="D132" s="9" t="s">
        <v>7</v>
      </c>
      <c r="E132" s="9" t="s">
        <v>8</v>
      </c>
      <c r="F132" s="9" t="s">
        <v>9</v>
      </c>
    </row>
    <row r="133">
      <c r="A133" s="13">
        <v>1.0</v>
      </c>
      <c r="B133" s="54" t="s">
        <v>103</v>
      </c>
      <c r="C133" s="55">
        <v>46023.0</v>
      </c>
      <c r="D133" s="22">
        <v>325.91</v>
      </c>
      <c r="E133" s="56"/>
      <c r="F133" s="28"/>
    </row>
    <row r="134">
      <c r="A134" s="30" t="s">
        <v>106</v>
      </c>
      <c r="B134" s="31"/>
      <c r="C134" s="32"/>
      <c r="D134" s="24">
        <f>round(D133*10%,2)</f>
        <v>32.59</v>
      </c>
      <c r="E134" s="57"/>
      <c r="F134" s="28"/>
    </row>
    <row r="135">
      <c r="A135" s="30" t="s">
        <v>24</v>
      </c>
      <c r="B135" s="31"/>
      <c r="C135" s="32"/>
      <c r="D135" s="24">
        <f>round(D133*10%,2)</f>
        <v>32.59</v>
      </c>
      <c r="E135" s="57"/>
      <c r="F135" s="28"/>
    </row>
    <row r="136">
      <c r="A136" s="33" t="s">
        <v>9</v>
      </c>
      <c r="B136" s="31"/>
      <c r="C136" s="32"/>
      <c r="D136" s="39">
        <f>D133+D134-D135</f>
        <v>325.91</v>
      </c>
      <c r="E136" s="90">
        <v>26145.0</v>
      </c>
      <c r="F136" s="41">
        <f>round(D136*E136,0)</f>
        <v>8520917</v>
      </c>
    </row>
    <row r="137">
      <c r="A137" s="33" t="s">
        <v>26</v>
      </c>
      <c r="B137" s="31"/>
      <c r="C137" s="32"/>
      <c r="D137" s="39"/>
      <c r="E137" s="90"/>
      <c r="F137" s="41">
        <f>round(F136*10%,0)</f>
        <v>852092</v>
      </c>
    </row>
    <row r="138">
      <c r="A138" s="33" t="s">
        <v>16</v>
      </c>
      <c r="B138" s="31"/>
      <c r="C138" s="32"/>
      <c r="D138" s="39"/>
      <c r="E138" s="90"/>
      <c r="F138" s="41">
        <f>F136+F137</f>
        <v>9373009</v>
      </c>
    </row>
    <row r="144">
      <c r="A144" s="52" t="s">
        <v>102</v>
      </c>
    </row>
    <row r="145">
      <c r="A145" s="53"/>
      <c r="B145" s="53"/>
      <c r="C145" s="53"/>
      <c r="D145" s="53"/>
      <c r="E145" s="53"/>
      <c r="F145" s="53"/>
    </row>
    <row r="146">
      <c r="A146" s="9" t="s">
        <v>4</v>
      </c>
      <c r="B146" s="9" t="s">
        <v>5</v>
      </c>
      <c r="C146" s="9" t="s">
        <v>6</v>
      </c>
      <c r="D146" s="9" t="s">
        <v>7</v>
      </c>
      <c r="E146" s="9" t="s">
        <v>8</v>
      </c>
      <c r="F146" s="9" t="s">
        <v>9</v>
      </c>
    </row>
    <row r="147">
      <c r="A147" s="13">
        <v>1.0</v>
      </c>
      <c r="B147" s="54" t="s">
        <v>103</v>
      </c>
      <c r="C147" s="55">
        <v>46054.0</v>
      </c>
      <c r="D147" s="22">
        <v>325.04</v>
      </c>
      <c r="E147" s="56"/>
      <c r="F147" s="28"/>
    </row>
    <row r="148">
      <c r="A148" s="30" t="s">
        <v>106</v>
      </c>
      <c r="B148" s="31"/>
      <c r="C148" s="32"/>
      <c r="D148" s="24">
        <f>round(D147*10%,2)</f>
        <v>32.5</v>
      </c>
      <c r="E148" s="57"/>
      <c r="F148" s="28"/>
    </row>
    <row r="149">
      <c r="A149" s="30" t="s">
        <v>24</v>
      </c>
      <c r="B149" s="31"/>
      <c r="C149" s="32"/>
      <c r="D149" s="24">
        <f>round(D147*10%,2)</f>
        <v>32.5</v>
      </c>
      <c r="E149" s="57"/>
      <c r="F149" s="28"/>
    </row>
    <row r="150">
      <c r="A150" s="33" t="s">
        <v>9</v>
      </c>
      <c r="B150" s="31"/>
      <c r="C150" s="32"/>
      <c r="D150" s="39">
        <f>D147+D148-D149</f>
        <v>325.04</v>
      </c>
      <c r="E150" s="90">
        <v>26240.0</v>
      </c>
      <c r="F150" s="41">
        <f>round(D150*E150,0)</f>
        <v>8529050</v>
      </c>
    </row>
    <row r="151">
      <c r="A151" s="33" t="s">
        <v>26</v>
      </c>
      <c r="B151" s="31"/>
      <c r="C151" s="32"/>
      <c r="D151" s="39"/>
      <c r="E151" s="90"/>
      <c r="F151" s="41">
        <f>round(F150*10%,0)</f>
        <v>852905</v>
      </c>
    </row>
    <row r="152">
      <c r="A152" s="33" t="s">
        <v>16</v>
      </c>
      <c r="B152" s="31"/>
      <c r="C152" s="32"/>
      <c r="D152" s="39"/>
      <c r="E152" s="90"/>
      <c r="F152" s="41">
        <f>F150+F151</f>
        <v>9381955</v>
      </c>
    </row>
    <row r="158">
      <c r="A158" s="52" t="s">
        <v>102</v>
      </c>
    </row>
    <row r="159">
      <c r="A159" s="53"/>
      <c r="B159" s="53"/>
      <c r="C159" s="53"/>
      <c r="D159" s="53"/>
      <c r="E159" s="53"/>
      <c r="F159" s="53"/>
    </row>
    <row r="160">
      <c r="A160" s="9" t="s">
        <v>4</v>
      </c>
      <c r="B160" s="9" t="s">
        <v>5</v>
      </c>
      <c r="C160" s="9" t="s">
        <v>6</v>
      </c>
      <c r="D160" s="9" t="s">
        <v>7</v>
      </c>
      <c r="E160" s="9" t="s">
        <v>8</v>
      </c>
      <c r="F160" s="9" t="s">
        <v>9</v>
      </c>
    </row>
    <row r="161">
      <c r="A161" s="13">
        <v>1.0</v>
      </c>
      <c r="B161" s="54" t="s">
        <v>103</v>
      </c>
      <c r="C161" s="55">
        <v>46082.0</v>
      </c>
      <c r="D161" s="22">
        <v>326.0</v>
      </c>
      <c r="E161" s="56"/>
      <c r="F161" s="28"/>
    </row>
    <row r="162">
      <c r="A162" s="30" t="s">
        <v>106</v>
      </c>
      <c r="B162" s="31"/>
      <c r="C162" s="32"/>
      <c r="D162" s="24">
        <f>round(D161*10%,2)</f>
        <v>32.6</v>
      </c>
      <c r="E162" s="57"/>
      <c r="F162" s="28"/>
    </row>
    <row r="163">
      <c r="A163" s="30" t="s">
        <v>24</v>
      </c>
      <c r="B163" s="31"/>
      <c r="C163" s="32"/>
      <c r="D163" s="24">
        <f>round(D161*10%,2)</f>
        <v>32.6</v>
      </c>
      <c r="E163" s="57"/>
      <c r="F163" s="28"/>
    </row>
    <row r="164">
      <c r="A164" s="33" t="s">
        <v>9</v>
      </c>
      <c r="B164" s="31"/>
      <c r="C164" s="32"/>
      <c r="D164" s="39">
        <f>D161+D162-D163</f>
        <v>326</v>
      </c>
      <c r="E164" s="90">
        <v>26357.0</v>
      </c>
      <c r="F164" s="41">
        <f>round(D164*E164,0)</f>
        <v>8592382</v>
      </c>
    </row>
    <row r="165">
      <c r="A165" s="33" t="s">
        <v>26</v>
      </c>
      <c r="B165" s="31"/>
      <c r="C165" s="32"/>
      <c r="D165" s="39"/>
      <c r="E165" s="90"/>
      <c r="F165" s="41">
        <f>round(F164*10%,0)</f>
        <v>859238</v>
      </c>
    </row>
    <row r="166">
      <c r="A166" s="33" t="s">
        <v>16</v>
      </c>
      <c r="B166" s="31"/>
      <c r="C166" s="32"/>
      <c r="D166" s="39"/>
      <c r="E166" s="90"/>
      <c r="F166" s="41">
        <f>F164+F165</f>
        <v>9451620</v>
      </c>
    </row>
    <row r="172">
      <c r="A172" s="52" t="s">
        <v>102</v>
      </c>
    </row>
    <row r="173">
      <c r="A173" s="53"/>
      <c r="B173" s="53"/>
      <c r="C173" s="53"/>
      <c r="D173" s="53"/>
      <c r="E173" s="53"/>
      <c r="F173" s="53"/>
    </row>
    <row r="174">
      <c r="A174" s="9" t="s">
        <v>4</v>
      </c>
      <c r="B174" s="9" t="s">
        <v>5</v>
      </c>
      <c r="C174" s="9" t="s">
        <v>6</v>
      </c>
      <c r="D174" s="9" t="s">
        <v>7</v>
      </c>
      <c r="E174" s="9" t="s">
        <v>8</v>
      </c>
      <c r="F174" s="9" t="s">
        <v>9</v>
      </c>
    </row>
    <row r="175">
      <c r="A175" s="13">
        <v>1.0</v>
      </c>
      <c r="B175" s="54" t="s">
        <v>103</v>
      </c>
      <c r="C175" s="55">
        <v>46113.0</v>
      </c>
      <c r="D175" s="22">
        <v>326.03</v>
      </c>
      <c r="E175" s="56"/>
      <c r="F175" s="28"/>
    </row>
    <row r="176">
      <c r="A176" s="30" t="s">
        <v>106</v>
      </c>
      <c r="B176" s="31"/>
      <c r="C176" s="32"/>
      <c r="D176" s="24">
        <f>round(D175*10%,2)</f>
        <v>32.6</v>
      </c>
      <c r="E176" s="57"/>
      <c r="F176" s="28"/>
    </row>
    <row r="177">
      <c r="A177" s="30" t="s">
        <v>24</v>
      </c>
      <c r="B177" s="31"/>
      <c r="C177" s="32"/>
      <c r="D177" s="24">
        <f>round(D175*10%,2)</f>
        <v>32.6</v>
      </c>
      <c r="E177" s="57"/>
      <c r="F177" s="28"/>
    </row>
    <row r="178">
      <c r="A178" s="33" t="s">
        <v>9</v>
      </c>
      <c r="B178" s="31"/>
      <c r="C178" s="32"/>
      <c r="D178" s="39">
        <f>D175+D176-D177</f>
        <v>326.03</v>
      </c>
      <c r="E178" s="90">
        <v>26368.0</v>
      </c>
      <c r="F178" s="41">
        <f>round(D178*E178,0)</f>
        <v>8596759</v>
      </c>
    </row>
    <row r="179">
      <c r="A179" s="33" t="s">
        <v>26</v>
      </c>
      <c r="B179" s="31"/>
      <c r="C179" s="32"/>
      <c r="D179" s="39"/>
      <c r="E179" s="90"/>
      <c r="F179" s="41">
        <f>round(F178*10%,0)</f>
        <v>859676</v>
      </c>
    </row>
    <row r="180">
      <c r="A180" s="33" t="s">
        <v>16</v>
      </c>
      <c r="B180" s="31"/>
      <c r="C180" s="32"/>
      <c r="D180" s="39"/>
      <c r="E180" s="90"/>
      <c r="F180" s="41">
        <f>F178+F179</f>
        <v>9456435</v>
      </c>
    </row>
    <row r="186">
      <c r="A186" s="52" t="s">
        <v>102</v>
      </c>
    </row>
    <row r="187">
      <c r="A187" s="53"/>
      <c r="B187" s="53"/>
      <c r="C187" s="53"/>
      <c r="D187" s="53"/>
      <c r="E187" s="53"/>
      <c r="F187" s="53"/>
    </row>
    <row r="188">
      <c r="A188" s="9" t="s">
        <v>4</v>
      </c>
      <c r="B188" s="9" t="s">
        <v>5</v>
      </c>
      <c r="C188" s="9" t="s">
        <v>6</v>
      </c>
      <c r="D188" s="9" t="s">
        <v>7</v>
      </c>
      <c r="E188" s="9" t="s">
        <v>8</v>
      </c>
      <c r="F188" s="9" t="s">
        <v>9</v>
      </c>
    </row>
    <row r="189">
      <c r="A189" s="13">
        <v>1.0</v>
      </c>
      <c r="B189" s="54" t="s">
        <v>103</v>
      </c>
      <c r="C189" s="55">
        <v>46143.0</v>
      </c>
      <c r="D189" s="22">
        <v>326.07</v>
      </c>
      <c r="E189" s="56"/>
      <c r="F189" s="28"/>
    </row>
    <row r="190">
      <c r="A190" s="30" t="s">
        <v>106</v>
      </c>
      <c r="B190" s="31"/>
      <c r="C190" s="32"/>
      <c r="D190" s="24">
        <f>round(D189*10%,2)</f>
        <v>32.61</v>
      </c>
      <c r="E190" s="57"/>
      <c r="F190" s="28"/>
    </row>
    <row r="191">
      <c r="A191" s="30" t="s">
        <v>24</v>
      </c>
      <c r="B191" s="31"/>
      <c r="C191" s="32"/>
      <c r="D191" s="24">
        <f>round(D189*10%,2)</f>
        <v>32.61</v>
      </c>
      <c r="E191" s="57"/>
      <c r="F191" s="28"/>
    </row>
    <row r="192">
      <c r="A192" s="33" t="s">
        <v>9</v>
      </c>
      <c r="B192" s="31"/>
      <c r="C192" s="32"/>
      <c r="D192" s="39">
        <f>D189+D190-D191</f>
        <v>326.07</v>
      </c>
      <c r="E192" s="90">
        <v>26395.0</v>
      </c>
      <c r="F192" s="41">
        <f>round(D192*E192,0)</f>
        <v>8606618</v>
      </c>
    </row>
    <row r="193">
      <c r="A193" s="33" t="s">
        <v>26</v>
      </c>
      <c r="B193" s="31"/>
      <c r="C193" s="32"/>
      <c r="D193" s="39"/>
      <c r="E193" s="90"/>
      <c r="F193" s="41">
        <f>round(F192*10%,0)</f>
        <v>860662</v>
      </c>
    </row>
    <row r="194">
      <c r="A194" s="33" t="s">
        <v>16</v>
      </c>
      <c r="B194" s="31"/>
      <c r="C194" s="32"/>
      <c r="D194" s="39"/>
      <c r="E194" s="90"/>
      <c r="F194" s="41">
        <f>F192+F193</f>
        <v>9467280</v>
      </c>
    </row>
    <row r="200">
      <c r="A200" s="52" t="s">
        <v>102</v>
      </c>
    </row>
    <row r="201">
      <c r="A201" s="53"/>
      <c r="B201" s="53"/>
      <c r="C201" s="53"/>
      <c r="D201" s="53"/>
      <c r="E201" s="53"/>
      <c r="F201" s="53"/>
    </row>
    <row r="202">
      <c r="A202" s="9" t="s">
        <v>4</v>
      </c>
      <c r="B202" s="9" t="s">
        <v>5</v>
      </c>
      <c r="C202" s="9" t="s">
        <v>6</v>
      </c>
      <c r="D202" s="9" t="s">
        <v>7</v>
      </c>
      <c r="E202" s="9" t="s">
        <v>8</v>
      </c>
      <c r="F202" s="9" t="s">
        <v>9</v>
      </c>
    </row>
    <row r="203">
      <c r="A203" s="13">
        <v>1.0</v>
      </c>
      <c r="B203" s="54" t="s">
        <v>103</v>
      </c>
      <c r="C203" s="55">
        <v>46143.0</v>
      </c>
      <c r="D203" s="22">
        <v>326.1</v>
      </c>
      <c r="E203" s="56"/>
      <c r="F203" s="28"/>
    </row>
    <row r="204">
      <c r="A204" s="30" t="s">
        <v>106</v>
      </c>
      <c r="B204" s="31"/>
      <c r="C204" s="32"/>
      <c r="D204" s="24">
        <f>round(D203*10%,2)</f>
        <v>32.61</v>
      </c>
      <c r="E204" s="57"/>
      <c r="F204" s="28"/>
    </row>
    <row r="205">
      <c r="A205" s="30" t="s">
        <v>24</v>
      </c>
      <c r="B205" s="31"/>
      <c r="C205" s="32"/>
      <c r="D205" s="24">
        <f>round(D203*10%,2)</f>
        <v>32.61</v>
      </c>
      <c r="E205" s="57"/>
      <c r="F205" s="28"/>
    </row>
    <row r="206">
      <c r="A206" s="33" t="s">
        <v>9</v>
      </c>
      <c r="B206" s="31"/>
      <c r="C206" s="32"/>
      <c r="D206" s="39">
        <f>D203+D204-D205</f>
        <v>326.1</v>
      </c>
      <c r="E206" s="90">
        <v>26466.0</v>
      </c>
      <c r="F206" s="41">
        <f>round(D206*E206,0)</f>
        <v>8630563</v>
      </c>
    </row>
    <row r="207">
      <c r="A207" s="33" t="s">
        <v>26</v>
      </c>
      <c r="B207" s="31"/>
      <c r="C207" s="32"/>
      <c r="D207" s="39"/>
      <c r="E207" s="90"/>
      <c r="F207" s="41">
        <f>round(F206*10%,0)</f>
        <v>863056</v>
      </c>
    </row>
    <row r="208">
      <c r="A208" s="33" t="s">
        <v>16</v>
      </c>
      <c r="B208" s="31"/>
      <c r="C208" s="32"/>
      <c r="D208" s="39"/>
      <c r="E208" s="90"/>
      <c r="F208" s="41">
        <f>F206+F207</f>
        <v>9493619</v>
      </c>
    </row>
    <row r="214">
      <c r="A214" s="52" t="s">
        <v>102</v>
      </c>
    </row>
    <row r="215">
      <c r="A215" s="53"/>
      <c r="B215" s="53"/>
      <c r="C215" s="53"/>
      <c r="D215" s="53"/>
      <c r="E215" s="53"/>
      <c r="F215" s="53"/>
    </row>
    <row r="216">
      <c r="A216" s="9" t="s">
        <v>4</v>
      </c>
      <c r="B216" s="9" t="s">
        <v>5</v>
      </c>
      <c r="C216" s="9" t="s">
        <v>6</v>
      </c>
      <c r="D216" s="9" t="s">
        <v>7</v>
      </c>
      <c r="E216" s="9" t="s">
        <v>8</v>
      </c>
      <c r="F216" s="9" t="s">
        <v>9</v>
      </c>
    </row>
    <row r="217">
      <c r="A217" s="13">
        <v>1.0</v>
      </c>
      <c r="B217" s="54" t="s">
        <v>103</v>
      </c>
      <c r="C217" s="55">
        <v>46204.0</v>
      </c>
      <c r="D217" s="22">
        <v>326.12</v>
      </c>
      <c r="E217" s="56"/>
      <c r="F217" s="28"/>
    </row>
    <row r="218">
      <c r="A218" s="30" t="s">
        <v>106</v>
      </c>
      <c r="B218" s="31"/>
      <c r="C218" s="32"/>
      <c r="D218" s="24">
        <f>round(D217*10%,2)</f>
        <v>32.61</v>
      </c>
      <c r="E218" s="57"/>
      <c r="F218" s="28"/>
    </row>
    <row r="219">
      <c r="A219" s="30" t="s">
        <v>24</v>
      </c>
      <c r="B219" s="31"/>
      <c r="C219" s="32"/>
      <c r="D219" s="24">
        <f>round(D217*10%,2)</f>
        <v>32.61</v>
      </c>
      <c r="E219" s="57"/>
      <c r="F219" s="28"/>
    </row>
    <row r="220">
      <c r="A220" s="33" t="s">
        <v>9</v>
      </c>
      <c r="B220" s="31"/>
      <c r="C220" s="32"/>
      <c r="D220" s="39">
        <f>D217+D218-D219</f>
        <v>326.12</v>
      </c>
      <c r="E220" s="90">
        <v>26475.0</v>
      </c>
      <c r="F220" s="41">
        <f>round(D220*E220,0)</f>
        <v>8634027</v>
      </c>
    </row>
    <row r="221">
      <c r="A221" s="33" t="s">
        <v>26</v>
      </c>
      <c r="B221" s="31"/>
      <c r="C221" s="32"/>
      <c r="D221" s="39"/>
      <c r="E221" s="90"/>
      <c r="F221" s="41">
        <f>round(F220*10%,0)</f>
        <v>863403</v>
      </c>
    </row>
    <row r="222">
      <c r="A222" s="33" t="s">
        <v>16</v>
      </c>
      <c r="B222" s="31"/>
      <c r="C222" s="32"/>
      <c r="D222" s="39"/>
      <c r="E222" s="90"/>
      <c r="F222" s="41">
        <f>F220+F221</f>
        <v>9497430</v>
      </c>
    </row>
  </sheetData>
  <mergeCells count="102">
    <mergeCell ref="A106:C106"/>
    <mergeCell ref="A107:C107"/>
    <mergeCell ref="A108:C108"/>
    <mergeCell ref="A109:C109"/>
    <mergeCell ref="A110:C110"/>
    <mergeCell ref="A116:F116"/>
    <mergeCell ref="A120:C120"/>
    <mergeCell ref="A121:C121"/>
    <mergeCell ref="A122:C122"/>
    <mergeCell ref="A123:C123"/>
    <mergeCell ref="A124:C124"/>
    <mergeCell ref="A130:F130"/>
    <mergeCell ref="A134:C134"/>
    <mergeCell ref="A135:C135"/>
    <mergeCell ref="A136:C136"/>
    <mergeCell ref="A137:C137"/>
    <mergeCell ref="A138:C138"/>
    <mergeCell ref="A144:F144"/>
    <mergeCell ref="A148:C148"/>
    <mergeCell ref="A149:C149"/>
    <mergeCell ref="A150:C150"/>
    <mergeCell ref="A151:C151"/>
    <mergeCell ref="A152:C152"/>
    <mergeCell ref="A158:F158"/>
    <mergeCell ref="A162:C162"/>
    <mergeCell ref="A163:C163"/>
    <mergeCell ref="A164:C164"/>
    <mergeCell ref="A165:C165"/>
    <mergeCell ref="A166:C166"/>
    <mergeCell ref="A172:F172"/>
    <mergeCell ref="A176:C176"/>
    <mergeCell ref="A177:C177"/>
    <mergeCell ref="A178:C178"/>
    <mergeCell ref="A179:C179"/>
    <mergeCell ref="A180:C180"/>
    <mergeCell ref="A186:F186"/>
    <mergeCell ref="A190:C190"/>
    <mergeCell ref="A191:C191"/>
    <mergeCell ref="A192:C192"/>
    <mergeCell ref="A193:C193"/>
    <mergeCell ref="A194:C194"/>
    <mergeCell ref="A200:F200"/>
    <mergeCell ref="A219:C219"/>
    <mergeCell ref="A220:C220"/>
    <mergeCell ref="A221:C221"/>
    <mergeCell ref="A222:C222"/>
    <mergeCell ref="A204:C204"/>
    <mergeCell ref="A205:C205"/>
    <mergeCell ref="A206:C206"/>
    <mergeCell ref="A207:C207"/>
    <mergeCell ref="A208:C208"/>
    <mergeCell ref="A214:F214"/>
    <mergeCell ref="A218:C218"/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49:F49"/>
    <mergeCell ref="A53:C53"/>
    <mergeCell ref="A54:C54"/>
    <mergeCell ref="A55:C55"/>
    <mergeCell ref="A56:C56"/>
    <mergeCell ref="A57:C57"/>
    <mergeCell ref="A62:F62"/>
    <mergeCell ref="A66:C66"/>
    <mergeCell ref="A67:C67"/>
    <mergeCell ref="A68:C68"/>
    <mergeCell ref="A69:C69"/>
    <mergeCell ref="A70:C70"/>
    <mergeCell ref="A75:F75"/>
    <mergeCell ref="A79:C79"/>
    <mergeCell ref="A80:C80"/>
    <mergeCell ref="A81:C81"/>
    <mergeCell ref="A82:C82"/>
    <mergeCell ref="A83:C83"/>
    <mergeCell ref="A89:F89"/>
    <mergeCell ref="A93:C93"/>
    <mergeCell ref="A94:C94"/>
    <mergeCell ref="A95:C95"/>
    <mergeCell ref="A96:C96"/>
    <mergeCell ref="A97:C97"/>
    <mergeCell ref="A102:F10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50.88"/>
    <col customWidth="1" min="3" max="3" width="10.88"/>
    <col customWidth="1" min="4" max="4" width="20.5"/>
    <col customWidth="1" min="5" max="5" width="11.5"/>
    <col customWidth="1" min="6" max="6" width="17.13"/>
  </cols>
  <sheetData>
    <row r="1">
      <c r="A1" s="52" t="s">
        <v>105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107</v>
      </c>
      <c r="C4" s="55">
        <v>45748.0</v>
      </c>
      <c r="D4" s="22">
        <v>6309.84</v>
      </c>
      <c r="E4" s="56"/>
      <c r="F4" s="28"/>
    </row>
    <row r="5">
      <c r="A5" s="30" t="s">
        <v>104</v>
      </c>
      <c r="B5" s="31"/>
      <c r="C5" s="32"/>
      <c r="D5" s="24">
        <f>round(D4*5.26%,2)</f>
        <v>331.9</v>
      </c>
      <c r="E5" s="57"/>
      <c r="F5" s="28"/>
    </row>
    <row r="6">
      <c r="A6" s="30" t="s">
        <v>24</v>
      </c>
      <c r="B6" s="31"/>
      <c r="C6" s="32"/>
      <c r="D6" s="24">
        <f>round(D4*10%,2)</f>
        <v>630.98</v>
      </c>
      <c r="E6" s="57"/>
      <c r="F6" s="28"/>
    </row>
    <row r="7">
      <c r="A7" s="33" t="s">
        <v>9</v>
      </c>
      <c r="B7" s="31"/>
      <c r="C7" s="32"/>
      <c r="D7" s="39">
        <f>D4+D5-D6</f>
        <v>6010.76</v>
      </c>
      <c r="E7" s="90">
        <v>26190.0</v>
      </c>
      <c r="F7" s="41">
        <f>round(D7*E7,0)</f>
        <v>157421804</v>
      </c>
    </row>
    <row r="8">
      <c r="A8" s="33" t="s">
        <v>26</v>
      </c>
      <c r="B8" s="31"/>
      <c r="C8" s="32"/>
      <c r="D8" s="39"/>
      <c r="E8" s="90"/>
      <c r="F8" s="41">
        <f>round(F7*10%,0)</f>
        <v>15742180</v>
      </c>
    </row>
    <row r="9">
      <c r="A9" s="33" t="s">
        <v>16</v>
      </c>
      <c r="B9" s="31"/>
      <c r="C9" s="32"/>
      <c r="D9" s="39"/>
      <c r="E9" s="90"/>
      <c r="F9" s="41">
        <f>F7+F8</f>
        <v>173163984</v>
      </c>
    </row>
    <row r="13">
      <c r="A13" s="52" t="s">
        <v>105</v>
      </c>
    </row>
    <row r="14">
      <c r="A14" s="53"/>
      <c r="B14" s="53"/>
      <c r="C14" s="53"/>
      <c r="D14" s="53"/>
      <c r="E14" s="53"/>
      <c r="F14" s="53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>
      <c r="A16" s="13">
        <v>1.0</v>
      </c>
      <c r="B16" s="54" t="s">
        <v>107</v>
      </c>
      <c r="C16" s="55">
        <v>45778.0</v>
      </c>
      <c r="D16" s="22">
        <v>6283.29</v>
      </c>
      <c r="E16" s="56"/>
      <c r="F16" s="28"/>
    </row>
    <row r="17">
      <c r="A17" s="30" t="s">
        <v>104</v>
      </c>
      <c r="B17" s="31"/>
      <c r="C17" s="32"/>
      <c r="D17" s="24">
        <f>round(D16*5.26%,2)</f>
        <v>330.5</v>
      </c>
      <c r="E17" s="57"/>
      <c r="F17" s="28"/>
    </row>
    <row r="18">
      <c r="A18" s="30" t="s">
        <v>24</v>
      </c>
      <c r="B18" s="31"/>
      <c r="C18" s="32"/>
      <c r="D18" s="24">
        <f>round(D16*10%,2)</f>
        <v>628.33</v>
      </c>
      <c r="E18" s="57"/>
      <c r="F18" s="28"/>
    </row>
    <row r="19">
      <c r="A19" s="33" t="s">
        <v>9</v>
      </c>
      <c r="B19" s="31"/>
      <c r="C19" s="32"/>
      <c r="D19" s="39">
        <f>D16+D17-D18</f>
        <v>5985.46</v>
      </c>
      <c r="E19" s="90">
        <v>26225.0</v>
      </c>
      <c r="F19" s="41">
        <f>round(D19*E19,0)</f>
        <v>156968689</v>
      </c>
    </row>
    <row r="20">
      <c r="A20" s="33" t="s">
        <v>26</v>
      </c>
      <c r="B20" s="31"/>
      <c r="C20" s="32"/>
      <c r="D20" s="39"/>
      <c r="E20" s="90"/>
      <c r="F20" s="41">
        <f>round(F19*10%,0)</f>
        <v>15696869</v>
      </c>
    </row>
    <row r="21">
      <c r="A21" s="33" t="s">
        <v>16</v>
      </c>
      <c r="B21" s="31"/>
      <c r="C21" s="32"/>
      <c r="D21" s="39"/>
      <c r="E21" s="90"/>
      <c r="F21" s="41">
        <f>F19+F20</f>
        <v>172665558</v>
      </c>
    </row>
    <row r="26">
      <c r="A26" s="52" t="s">
        <v>105</v>
      </c>
    </row>
    <row r="27">
      <c r="A27" s="53"/>
      <c r="B27" s="53"/>
      <c r="C27" s="53"/>
      <c r="D27" s="53"/>
      <c r="E27" s="53"/>
      <c r="F27" s="53"/>
    </row>
    <row r="28">
      <c r="A28" s="9" t="s">
        <v>4</v>
      </c>
      <c r="B28" s="9" t="s">
        <v>5</v>
      </c>
      <c r="C28" s="9" t="s">
        <v>6</v>
      </c>
      <c r="D28" s="9" t="s">
        <v>7</v>
      </c>
      <c r="E28" s="9" t="s">
        <v>8</v>
      </c>
      <c r="F28" s="9" t="s">
        <v>9</v>
      </c>
    </row>
    <row r="29">
      <c r="A29" s="13">
        <v>1.0</v>
      </c>
      <c r="B29" s="54" t="s">
        <v>107</v>
      </c>
      <c r="C29" s="55">
        <v>45809.0</v>
      </c>
      <c r="D29" s="22">
        <v>6593.28</v>
      </c>
      <c r="E29" s="56"/>
      <c r="F29" s="28"/>
    </row>
    <row r="30">
      <c r="A30" s="30" t="s">
        <v>104</v>
      </c>
      <c r="B30" s="31"/>
      <c r="C30" s="32"/>
      <c r="D30" s="24">
        <f>round(D29*5.26%,2)</f>
        <v>346.81</v>
      </c>
      <c r="E30" s="57"/>
      <c r="F30" s="28"/>
    </row>
    <row r="31">
      <c r="A31" s="30" t="s">
        <v>24</v>
      </c>
      <c r="B31" s="31"/>
      <c r="C31" s="32"/>
      <c r="D31" s="24">
        <f>round(D29*10%,2)</f>
        <v>659.33</v>
      </c>
      <c r="E31" s="57"/>
      <c r="F31" s="28"/>
    </row>
    <row r="32">
      <c r="A32" s="33" t="s">
        <v>9</v>
      </c>
      <c r="B32" s="31"/>
      <c r="C32" s="32"/>
      <c r="D32" s="39">
        <f>D29+D30-D31</f>
        <v>6280.76</v>
      </c>
      <c r="E32" s="90">
        <v>26300.0</v>
      </c>
      <c r="F32" s="41">
        <f>round(D32*E32,0)</f>
        <v>165183988</v>
      </c>
    </row>
    <row r="33">
      <c r="A33" s="33" t="s">
        <v>26</v>
      </c>
      <c r="B33" s="31"/>
      <c r="C33" s="32"/>
      <c r="D33" s="39"/>
      <c r="E33" s="90"/>
      <c r="F33" s="41">
        <f>round(F32*10%,0)</f>
        <v>16518399</v>
      </c>
    </row>
    <row r="34">
      <c r="A34" s="33" t="s">
        <v>16</v>
      </c>
      <c r="B34" s="31"/>
      <c r="C34" s="32"/>
      <c r="D34" s="39"/>
      <c r="E34" s="90"/>
      <c r="F34" s="41">
        <f>F32+F33</f>
        <v>181702387</v>
      </c>
    </row>
    <row r="38">
      <c r="A38" s="91" t="s">
        <v>105</v>
      </c>
    </row>
    <row r="39">
      <c r="A39" s="92"/>
      <c r="B39" s="92"/>
      <c r="C39" s="92"/>
      <c r="D39" s="92"/>
      <c r="E39" s="92"/>
      <c r="F39" s="92"/>
    </row>
    <row r="40">
      <c r="A40" s="75" t="s">
        <v>4</v>
      </c>
      <c r="B40" s="75" t="s">
        <v>5</v>
      </c>
      <c r="C40" s="75" t="s">
        <v>6</v>
      </c>
      <c r="D40" s="75" t="s">
        <v>7</v>
      </c>
      <c r="E40" s="75" t="s">
        <v>8</v>
      </c>
      <c r="F40" s="75" t="s">
        <v>9</v>
      </c>
    </row>
    <row r="41">
      <c r="A41" s="76">
        <v>1.0</v>
      </c>
      <c r="B41" s="93" t="s">
        <v>107</v>
      </c>
      <c r="C41" s="94">
        <v>45839.0</v>
      </c>
      <c r="D41" s="78">
        <v>6626.29</v>
      </c>
      <c r="E41" s="95"/>
      <c r="F41" s="80"/>
    </row>
    <row r="42">
      <c r="A42" s="81" t="s">
        <v>106</v>
      </c>
      <c r="B42" s="31"/>
      <c r="C42" s="32"/>
      <c r="D42" s="82">
        <f>round(D41*10%,2)</f>
        <v>662.63</v>
      </c>
      <c r="E42" s="96"/>
      <c r="F42" s="80"/>
    </row>
    <row r="43">
      <c r="A43" s="81" t="s">
        <v>34</v>
      </c>
      <c r="B43" s="31"/>
      <c r="C43" s="32"/>
      <c r="D43" s="82">
        <f>round(D41*12%,2)</f>
        <v>795.15</v>
      </c>
      <c r="E43" s="96"/>
      <c r="F43" s="80"/>
    </row>
    <row r="44">
      <c r="A44" s="85" t="s">
        <v>9</v>
      </c>
      <c r="B44" s="31"/>
      <c r="C44" s="32"/>
      <c r="D44" s="86">
        <f>D41+D42-D43</f>
        <v>6493.77</v>
      </c>
      <c r="E44" s="97">
        <v>26382.0</v>
      </c>
      <c r="F44" s="87">
        <f>round(D44*E44,0)</f>
        <v>171318640</v>
      </c>
    </row>
    <row r="45">
      <c r="A45" s="85" t="s">
        <v>26</v>
      </c>
      <c r="B45" s="31"/>
      <c r="C45" s="32"/>
      <c r="D45" s="88"/>
      <c r="E45" s="95"/>
      <c r="F45" s="87">
        <f>round(F44*10%,0)</f>
        <v>17131864</v>
      </c>
    </row>
    <row r="46">
      <c r="A46" s="85" t="s">
        <v>16</v>
      </c>
      <c r="B46" s="31"/>
      <c r="C46" s="32"/>
      <c r="D46" s="88"/>
      <c r="E46" s="95"/>
      <c r="F46" s="87">
        <f>F44+F45</f>
        <v>188450504</v>
      </c>
    </row>
    <row r="51">
      <c r="A51" s="91" t="s">
        <v>105</v>
      </c>
    </row>
    <row r="52">
      <c r="A52" s="92"/>
      <c r="B52" s="92"/>
      <c r="C52" s="92"/>
      <c r="D52" s="92"/>
      <c r="E52" s="92"/>
      <c r="F52" s="92"/>
    </row>
    <row r="53">
      <c r="A53" s="75" t="s">
        <v>4</v>
      </c>
      <c r="B53" s="75" t="s">
        <v>5</v>
      </c>
      <c r="C53" s="75" t="s">
        <v>6</v>
      </c>
      <c r="D53" s="75" t="s">
        <v>7</v>
      </c>
      <c r="E53" s="75" t="s">
        <v>8</v>
      </c>
      <c r="F53" s="75" t="s">
        <v>9</v>
      </c>
    </row>
    <row r="54">
      <c r="A54" s="76">
        <v>1.0</v>
      </c>
      <c r="B54" s="93" t="s">
        <v>107</v>
      </c>
      <c r="C54" s="94">
        <v>45870.0</v>
      </c>
      <c r="D54" s="78">
        <v>6879.93</v>
      </c>
      <c r="E54" s="95"/>
      <c r="F54" s="80"/>
    </row>
    <row r="55">
      <c r="A55" s="81" t="s">
        <v>106</v>
      </c>
      <c r="B55" s="31"/>
      <c r="C55" s="32"/>
      <c r="D55" s="82">
        <f>round(D54*10%,2)</f>
        <v>687.99</v>
      </c>
      <c r="E55" s="96"/>
      <c r="F55" s="80"/>
    </row>
    <row r="56">
      <c r="A56" s="81" t="s">
        <v>34</v>
      </c>
      <c r="B56" s="31"/>
      <c r="C56" s="32"/>
      <c r="D56" s="82">
        <f>round(D54*12%,2)</f>
        <v>825.59</v>
      </c>
      <c r="E56" s="96"/>
      <c r="F56" s="80"/>
    </row>
    <row r="57">
      <c r="A57" s="85" t="s">
        <v>9</v>
      </c>
      <c r="B57" s="31"/>
      <c r="C57" s="32"/>
      <c r="D57" s="86">
        <f>D54+D55-D56</f>
        <v>6742.33</v>
      </c>
      <c r="E57" s="97">
        <v>26502.0</v>
      </c>
      <c r="F57" s="87">
        <f>round(D57*E57,0)</f>
        <v>178685230</v>
      </c>
    </row>
    <row r="58">
      <c r="A58" s="85" t="s">
        <v>26</v>
      </c>
      <c r="B58" s="31"/>
      <c r="C58" s="32"/>
      <c r="D58" s="88"/>
      <c r="E58" s="95"/>
      <c r="F58" s="87">
        <f>round(F57*10%,0)</f>
        <v>17868523</v>
      </c>
    </row>
    <row r="59">
      <c r="A59" s="85" t="s">
        <v>16</v>
      </c>
      <c r="B59" s="31"/>
      <c r="C59" s="32"/>
      <c r="D59" s="88"/>
      <c r="E59" s="95"/>
      <c r="F59" s="87">
        <f>F57+F58</f>
        <v>196553753</v>
      </c>
    </row>
    <row r="64">
      <c r="A64" s="91" t="s">
        <v>105</v>
      </c>
    </row>
    <row r="65">
      <c r="A65" s="92"/>
      <c r="B65" s="92"/>
      <c r="C65" s="92"/>
      <c r="D65" s="92"/>
      <c r="E65" s="92"/>
      <c r="F65" s="92"/>
    </row>
    <row r="66">
      <c r="A66" s="75" t="s">
        <v>4</v>
      </c>
      <c r="B66" s="75" t="s">
        <v>5</v>
      </c>
      <c r="C66" s="75" t="s">
        <v>6</v>
      </c>
      <c r="D66" s="75" t="s">
        <v>7</v>
      </c>
      <c r="E66" s="75" t="s">
        <v>8</v>
      </c>
      <c r="F66" s="75" t="s">
        <v>9</v>
      </c>
    </row>
    <row r="67">
      <c r="A67" s="76">
        <v>1.0</v>
      </c>
      <c r="B67" s="93" t="s">
        <v>107</v>
      </c>
      <c r="C67" s="94">
        <v>45901.0</v>
      </c>
      <c r="D67" s="78">
        <v>7008.31</v>
      </c>
      <c r="E67" s="95"/>
      <c r="F67" s="80"/>
    </row>
    <row r="68">
      <c r="A68" s="81" t="s">
        <v>106</v>
      </c>
      <c r="B68" s="31"/>
      <c r="C68" s="32"/>
      <c r="D68" s="82">
        <f>round(D67*10%,2)</f>
        <v>700.83</v>
      </c>
      <c r="E68" s="96"/>
      <c r="F68" s="80"/>
    </row>
    <row r="69">
      <c r="A69" s="81" t="s">
        <v>34</v>
      </c>
      <c r="B69" s="31"/>
      <c r="C69" s="32"/>
      <c r="D69" s="82">
        <f>round(D67*12%,2)</f>
        <v>841</v>
      </c>
      <c r="E69" s="96"/>
      <c r="F69" s="80"/>
    </row>
    <row r="70">
      <c r="A70" s="85" t="s">
        <v>9</v>
      </c>
      <c r="B70" s="31"/>
      <c r="C70" s="32"/>
      <c r="D70" s="86">
        <f>D67+D68-D69</f>
        <v>6868.14</v>
      </c>
      <c r="E70" s="97">
        <v>26446.0</v>
      </c>
      <c r="F70" s="87">
        <f>round(D70*E70,0)</f>
        <v>181634830</v>
      </c>
    </row>
    <row r="71">
      <c r="A71" s="85" t="s">
        <v>26</v>
      </c>
      <c r="B71" s="31"/>
      <c r="C71" s="32"/>
      <c r="D71" s="88"/>
      <c r="E71" s="95"/>
      <c r="F71" s="87">
        <f>round(F70*10%,0)</f>
        <v>18163483</v>
      </c>
    </row>
    <row r="72">
      <c r="A72" s="85" t="s">
        <v>16</v>
      </c>
      <c r="B72" s="31"/>
      <c r="C72" s="32"/>
      <c r="D72" s="88"/>
      <c r="E72" s="95"/>
      <c r="F72" s="87">
        <f>F70+F71</f>
        <v>199798313</v>
      </c>
    </row>
    <row r="77">
      <c r="A77" s="91" t="s">
        <v>105</v>
      </c>
    </row>
    <row r="78">
      <c r="A78" s="92"/>
      <c r="B78" s="92"/>
      <c r="C78" s="92"/>
      <c r="D78" s="92"/>
      <c r="E78" s="92"/>
      <c r="F78" s="92"/>
    </row>
    <row r="79">
      <c r="A79" s="75" t="s">
        <v>4</v>
      </c>
      <c r="B79" s="75" t="s">
        <v>5</v>
      </c>
      <c r="C79" s="75" t="s">
        <v>6</v>
      </c>
      <c r="D79" s="75" t="s">
        <v>7</v>
      </c>
      <c r="E79" s="75" t="s">
        <v>8</v>
      </c>
      <c r="F79" s="75" t="s">
        <v>9</v>
      </c>
    </row>
    <row r="80">
      <c r="A80" s="76">
        <v>1.0</v>
      </c>
      <c r="B80" s="93" t="s">
        <v>107</v>
      </c>
      <c r="C80" s="94">
        <v>45931.0</v>
      </c>
      <c r="D80" s="78">
        <v>7091.4</v>
      </c>
      <c r="E80" s="95"/>
      <c r="F80" s="80"/>
    </row>
    <row r="81">
      <c r="A81" s="81" t="s">
        <v>106</v>
      </c>
      <c r="B81" s="31"/>
      <c r="C81" s="32"/>
      <c r="D81" s="82">
        <f>round(D80*10%,2)</f>
        <v>709.14</v>
      </c>
      <c r="E81" s="96"/>
      <c r="F81" s="80"/>
    </row>
    <row r="82">
      <c r="A82" s="81" t="s">
        <v>34</v>
      </c>
      <c r="B82" s="31"/>
      <c r="C82" s="32"/>
      <c r="D82" s="82">
        <f>round(D80*12%,2)</f>
        <v>850.97</v>
      </c>
      <c r="E82" s="96"/>
      <c r="F82" s="80"/>
    </row>
    <row r="83">
      <c r="A83" s="85" t="s">
        <v>9</v>
      </c>
      <c r="B83" s="31"/>
      <c r="C83" s="32"/>
      <c r="D83" s="86">
        <f>D80+D81-D82</f>
        <v>6949.57</v>
      </c>
      <c r="E83" s="97">
        <v>26347.0</v>
      </c>
      <c r="F83" s="87">
        <f>round(D83*E83,0)</f>
        <v>183100321</v>
      </c>
    </row>
    <row r="84">
      <c r="A84" s="85" t="s">
        <v>26</v>
      </c>
      <c r="B84" s="31"/>
      <c r="C84" s="32"/>
      <c r="D84" s="88"/>
      <c r="E84" s="95"/>
      <c r="F84" s="87">
        <f>round(F83*10%,0)</f>
        <v>18310032</v>
      </c>
    </row>
    <row r="85">
      <c r="A85" s="85" t="s">
        <v>16</v>
      </c>
      <c r="B85" s="31"/>
      <c r="C85" s="32"/>
      <c r="D85" s="88"/>
      <c r="E85" s="95"/>
      <c r="F85" s="87">
        <f>F83+F84</f>
        <v>201410353</v>
      </c>
    </row>
    <row r="90">
      <c r="A90" s="91" t="s">
        <v>105</v>
      </c>
    </row>
    <row r="91">
      <c r="A91" s="92"/>
      <c r="B91" s="92"/>
      <c r="C91" s="92"/>
      <c r="D91" s="92"/>
      <c r="E91" s="92"/>
      <c r="F91" s="92"/>
    </row>
    <row r="92">
      <c r="A92" s="75" t="s">
        <v>4</v>
      </c>
      <c r="B92" s="75" t="s">
        <v>5</v>
      </c>
      <c r="C92" s="75" t="s">
        <v>6</v>
      </c>
      <c r="D92" s="75" t="s">
        <v>7</v>
      </c>
      <c r="E92" s="75" t="s">
        <v>8</v>
      </c>
      <c r="F92" s="75" t="s">
        <v>9</v>
      </c>
    </row>
    <row r="93">
      <c r="A93" s="76">
        <v>1.0</v>
      </c>
      <c r="B93" s="93" t="s">
        <v>107</v>
      </c>
      <c r="C93" s="94">
        <v>45962.0</v>
      </c>
      <c r="D93" s="78">
        <v>7207.47</v>
      </c>
      <c r="E93" s="95"/>
      <c r="F93" s="80"/>
    </row>
    <row r="94">
      <c r="A94" s="81" t="s">
        <v>106</v>
      </c>
      <c r="B94" s="31"/>
      <c r="C94" s="32"/>
      <c r="D94" s="82">
        <f>round(D93*10%,2)</f>
        <v>720.75</v>
      </c>
      <c r="E94" s="96"/>
      <c r="F94" s="80"/>
    </row>
    <row r="95">
      <c r="A95" s="81" t="s">
        <v>34</v>
      </c>
      <c r="B95" s="31"/>
      <c r="C95" s="32"/>
      <c r="D95" s="82">
        <f>round(D93*12%,2)</f>
        <v>864.9</v>
      </c>
      <c r="E95" s="96"/>
      <c r="F95" s="80"/>
    </row>
    <row r="96">
      <c r="A96" s="85" t="s">
        <v>9</v>
      </c>
      <c r="B96" s="31"/>
      <c r="C96" s="32"/>
      <c r="D96" s="86">
        <f>D93+D94-D95</f>
        <v>7063.32</v>
      </c>
      <c r="E96" s="97">
        <v>26412.0</v>
      </c>
      <c r="F96" s="87">
        <f>round(D96*E96,0)</f>
        <v>186556408</v>
      </c>
    </row>
    <row r="97">
      <c r="A97" s="85" t="s">
        <v>26</v>
      </c>
      <c r="B97" s="31"/>
      <c r="C97" s="32"/>
      <c r="D97" s="88"/>
      <c r="E97" s="95"/>
      <c r="F97" s="87">
        <f>round(F96*10%,0)</f>
        <v>18655641</v>
      </c>
    </row>
    <row r="98">
      <c r="A98" s="85" t="s">
        <v>16</v>
      </c>
      <c r="B98" s="31"/>
      <c r="C98" s="32"/>
      <c r="D98" s="88"/>
      <c r="E98" s="95"/>
      <c r="F98" s="87">
        <f>F96+F97</f>
        <v>205212049</v>
      </c>
    </row>
    <row r="104">
      <c r="A104" s="91" t="s">
        <v>105</v>
      </c>
    </row>
    <row r="105">
      <c r="A105" s="92"/>
      <c r="B105" s="92"/>
      <c r="C105" s="92"/>
      <c r="D105" s="92"/>
      <c r="E105" s="92"/>
      <c r="F105" s="92"/>
    </row>
    <row r="106">
      <c r="A106" s="75" t="s">
        <v>4</v>
      </c>
      <c r="B106" s="75" t="s">
        <v>5</v>
      </c>
      <c r="C106" s="75" t="s">
        <v>6</v>
      </c>
      <c r="D106" s="75" t="s">
        <v>7</v>
      </c>
      <c r="E106" s="75" t="s">
        <v>8</v>
      </c>
      <c r="F106" s="75" t="s">
        <v>9</v>
      </c>
    </row>
    <row r="107">
      <c r="A107" s="76">
        <v>1.0</v>
      </c>
      <c r="B107" s="93" t="s">
        <v>107</v>
      </c>
      <c r="C107" s="94">
        <v>45992.0</v>
      </c>
      <c r="D107" s="78">
        <v>7310.18</v>
      </c>
      <c r="E107" s="95"/>
      <c r="F107" s="80"/>
    </row>
    <row r="108">
      <c r="A108" s="81" t="s">
        <v>106</v>
      </c>
      <c r="B108" s="31"/>
      <c r="C108" s="32"/>
      <c r="D108" s="82">
        <f>round(D107*10%,2)</f>
        <v>731.02</v>
      </c>
      <c r="E108" s="96"/>
      <c r="F108" s="80"/>
    </row>
    <row r="109">
      <c r="A109" s="81" t="s">
        <v>34</v>
      </c>
      <c r="B109" s="31"/>
      <c r="C109" s="32"/>
      <c r="D109" s="82">
        <f>round(D107*12%,2)</f>
        <v>877.22</v>
      </c>
      <c r="E109" s="96"/>
      <c r="F109" s="80"/>
    </row>
    <row r="110">
      <c r="A110" s="85" t="s">
        <v>9</v>
      </c>
      <c r="B110" s="31"/>
      <c r="C110" s="32"/>
      <c r="D110" s="86">
        <f>D107+D108-D109</f>
        <v>7163.98</v>
      </c>
      <c r="E110" s="97">
        <v>26377.0</v>
      </c>
      <c r="F110" s="87">
        <f>round(D110*E110,0)</f>
        <v>188964300</v>
      </c>
    </row>
    <row r="111">
      <c r="A111" s="85" t="s">
        <v>26</v>
      </c>
      <c r="B111" s="31"/>
      <c r="C111" s="32"/>
      <c r="D111" s="88"/>
      <c r="E111" s="95"/>
      <c r="F111" s="87">
        <f>round(F110*10%,0)</f>
        <v>18896430</v>
      </c>
    </row>
    <row r="112">
      <c r="A112" s="85" t="s">
        <v>16</v>
      </c>
      <c r="B112" s="31"/>
      <c r="C112" s="32"/>
      <c r="D112" s="88"/>
      <c r="E112" s="95"/>
      <c r="F112" s="87">
        <f>F110+F111</f>
        <v>207860730</v>
      </c>
    </row>
    <row r="118">
      <c r="A118" s="91" t="s">
        <v>105</v>
      </c>
    </row>
    <row r="119">
      <c r="A119" s="92"/>
      <c r="B119" s="92"/>
      <c r="C119" s="92"/>
      <c r="D119" s="92"/>
      <c r="E119" s="92"/>
      <c r="F119" s="92"/>
    </row>
    <row r="120">
      <c r="A120" s="75" t="s">
        <v>4</v>
      </c>
      <c r="B120" s="75" t="s">
        <v>5</v>
      </c>
      <c r="C120" s="75" t="s">
        <v>6</v>
      </c>
      <c r="D120" s="75" t="s">
        <v>7</v>
      </c>
      <c r="E120" s="75" t="s">
        <v>8</v>
      </c>
      <c r="F120" s="75" t="s">
        <v>9</v>
      </c>
    </row>
    <row r="121">
      <c r="A121" s="76">
        <v>1.0</v>
      </c>
      <c r="B121" s="93" t="s">
        <v>107</v>
      </c>
      <c r="C121" s="94">
        <v>46023.0</v>
      </c>
      <c r="D121" s="78">
        <v>7469.08</v>
      </c>
      <c r="E121" s="95"/>
      <c r="F121" s="80"/>
    </row>
    <row r="122">
      <c r="A122" s="81" t="s">
        <v>106</v>
      </c>
      <c r="B122" s="31"/>
      <c r="C122" s="32"/>
      <c r="D122" s="82">
        <f>round(D121*10%,2)</f>
        <v>746.91</v>
      </c>
      <c r="E122" s="96"/>
      <c r="F122" s="80"/>
    </row>
    <row r="123">
      <c r="A123" s="81" t="s">
        <v>34</v>
      </c>
      <c r="B123" s="31"/>
      <c r="C123" s="32"/>
      <c r="D123" s="82">
        <f>round(D121*12%,2)</f>
        <v>896.29</v>
      </c>
      <c r="E123" s="96"/>
      <c r="F123" s="80"/>
    </row>
    <row r="124">
      <c r="A124" s="85" t="s">
        <v>9</v>
      </c>
      <c r="B124" s="31"/>
      <c r="C124" s="32"/>
      <c r="D124" s="86">
        <f>D121+D122-D123</f>
        <v>7319.7</v>
      </c>
      <c r="E124" s="97">
        <v>26145.0</v>
      </c>
      <c r="F124" s="87">
        <f>round(D124*E124,0)</f>
        <v>191373557</v>
      </c>
    </row>
    <row r="125">
      <c r="A125" s="85" t="s">
        <v>26</v>
      </c>
      <c r="B125" s="31"/>
      <c r="C125" s="32"/>
      <c r="D125" s="88"/>
      <c r="E125" s="95"/>
      <c r="F125" s="87">
        <f>round(F124*10%,0)</f>
        <v>19137356</v>
      </c>
    </row>
    <row r="126">
      <c r="A126" s="85" t="s">
        <v>16</v>
      </c>
      <c r="B126" s="31"/>
      <c r="C126" s="32"/>
      <c r="D126" s="88"/>
      <c r="E126" s="95"/>
      <c r="F126" s="87">
        <f>F124+F125</f>
        <v>210510913</v>
      </c>
    </row>
    <row r="131">
      <c r="A131" s="91" t="s">
        <v>105</v>
      </c>
    </row>
    <row r="132">
      <c r="A132" s="92"/>
      <c r="B132" s="92"/>
      <c r="C132" s="92"/>
      <c r="D132" s="92"/>
      <c r="E132" s="92"/>
      <c r="F132" s="92"/>
    </row>
    <row r="133">
      <c r="A133" s="75" t="s">
        <v>4</v>
      </c>
      <c r="B133" s="75" t="s">
        <v>5</v>
      </c>
      <c r="C133" s="75" t="s">
        <v>6</v>
      </c>
      <c r="D133" s="75" t="s">
        <v>7</v>
      </c>
      <c r="E133" s="75" t="s">
        <v>8</v>
      </c>
      <c r="F133" s="75" t="s">
        <v>9</v>
      </c>
    </row>
    <row r="134">
      <c r="A134" s="76">
        <v>1.0</v>
      </c>
      <c r="B134" s="93" t="s">
        <v>107</v>
      </c>
      <c r="C134" s="94">
        <v>46054.0</v>
      </c>
      <c r="D134" s="78">
        <v>8073.34</v>
      </c>
      <c r="E134" s="95"/>
      <c r="F134" s="80"/>
    </row>
    <row r="135">
      <c r="A135" s="81" t="s">
        <v>106</v>
      </c>
      <c r="B135" s="31"/>
      <c r="C135" s="32"/>
      <c r="D135" s="82">
        <f>round(D134*10%,2)</f>
        <v>807.33</v>
      </c>
      <c r="E135" s="96"/>
      <c r="F135" s="80"/>
    </row>
    <row r="136">
      <c r="A136" s="81" t="s">
        <v>34</v>
      </c>
      <c r="B136" s="31"/>
      <c r="C136" s="32"/>
      <c r="D136" s="82">
        <f>round(D134*12%,2)</f>
        <v>968.8</v>
      </c>
      <c r="E136" s="96"/>
      <c r="F136" s="80"/>
    </row>
    <row r="137">
      <c r="A137" s="85" t="s">
        <v>9</v>
      </c>
      <c r="B137" s="31"/>
      <c r="C137" s="32"/>
      <c r="D137" s="86">
        <f>D134+D135-D136</f>
        <v>7911.87</v>
      </c>
      <c r="E137" s="97">
        <v>26240.0</v>
      </c>
      <c r="F137" s="87">
        <f>round(D137*E137,0)</f>
        <v>207607469</v>
      </c>
    </row>
    <row r="138">
      <c r="A138" s="85" t="s">
        <v>26</v>
      </c>
      <c r="B138" s="31"/>
      <c r="C138" s="32"/>
      <c r="D138" s="88"/>
      <c r="E138" s="95"/>
      <c r="F138" s="87">
        <f>round(F137*10%,0)</f>
        <v>20760747</v>
      </c>
    </row>
    <row r="139">
      <c r="A139" s="85" t="s">
        <v>16</v>
      </c>
      <c r="B139" s="31"/>
      <c r="C139" s="32"/>
      <c r="D139" s="88"/>
      <c r="E139" s="95"/>
      <c r="F139" s="87">
        <f>F137+F138</f>
        <v>228368216</v>
      </c>
    </row>
    <row r="144">
      <c r="A144" s="91" t="s">
        <v>105</v>
      </c>
    </row>
    <row r="145">
      <c r="A145" s="92"/>
      <c r="B145" s="92"/>
      <c r="C145" s="92"/>
      <c r="D145" s="92"/>
      <c r="E145" s="92"/>
      <c r="F145" s="92"/>
    </row>
    <row r="146">
      <c r="A146" s="75" t="s">
        <v>4</v>
      </c>
      <c r="B146" s="75" t="s">
        <v>5</v>
      </c>
      <c r="C146" s="75" t="s">
        <v>6</v>
      </c>
      <c r="D146" s="75" t="s">
        <v>7</v>
      </c>
      <c r="E146" s="75" t="s">
        <v>8</v>
      </c>
      <c r="F146" s="75" t="s">
        <v>9</v>
      </c>
    </row>
    <row r="147">
      <c r="A147" s="76">
        <v>1.0</v>
      </c>
      <c r="B147" s="93" t="s">
        <v>107</v>
      </c>
      <c r="C147" s="94">
        <v>46082.0</v>
      </c>
      <c r="D147" s="78">
        <v>8122.15</v>
      </c>
      <c r="E147" s="95"/>
      <c r="F147" s="80"/>
    </row>
    <row r="148">
      <c r="A148" s="81" t="s">
        <v>106</v>
      </c>
      <c r="B148" s="31"/>
      <c r="C148" s="32"/>
      <c r="D148" s="82">
        <f>round(D147*10%,2)</f>
        <v>812.22</v>
      </c>
      <c r="E148" s="96"/>
      <c r="F148" s="80"/>
    </row>
    <row r="149">
      <c r="A149" s="81" t="s">
        <v>34</v>
      </c>
      <c r="B149" s="31"/>
      <c r="C149" s="32"/>
      <c r="D149" s="82">
        <f>round(D147*12%,2)</f>
        <v>974.66</v>
      </c>
      <c r="E149" s="96"/>
      <c r="F149" s="80"/>
    </row>
    <row r="150">
      <c r="A150" s="85" t="s">
        <v>9</v>
      </c>
      <c r="B150" s="31"/>
      <c r="C150" s="32"/>
      <c r="D150" s="86">
        <f>D147+D148-D149</f>
        <v>7959.71</v>
      </c>
      <c r="E150" s="97">
        <v>26357.0</v>
      </c>
      <c r="F150" s="87">
        <f>round(D150*E150,0)</f>
        <v>209794076</v>
      </c>
    </row>
    <row r="151">
      <c r="A151" s="85" t="s">
        <v>26</v>
      </c>
      <c r="B151" s="31"/>
      <c r="C151" s="32"/>
      <c r="D151" s="88"/>
      <c r="E151" s="95"/>
      <c r="F151" s="87">
        <f>round(F150*10%,0)</f>
        <v>20979408</v>
      </c>
    </row>
    <row r="152">
      <c r="A152" s="85" t="s">
        <v>16</v>
      </c>
      <c r="B152" s="31"/>
      <c r="C152" s="32"/>
      <c r="D152" s="88"/>
      <c r="E152" s="95"/>
      <c r="F152" s="87">
        <f>F150+F151</f>
        <v>230773484</v>
      </c>
    </row>
    <row r="157">
      <c r="A157" s="91" t="s">
        <v>105</v>
      </c>
    </row>
    <row r="158">
      <c r="A158" s="92"/>
      <c r="B158" s="92"/>
      <c r="C158" s="92"/>
      <c r="D158" s="92"/>
      <c r="E158" s="92"/>
      <c r="F158" s="92"/>
    </row>
    <row r="159">
      <c r="A159" s="75" t="s">
        <v>4</v>
      </c>
      <c r="B159" s="75" t="s">
        <v>5</v>
      </c>
      <c r="C159" s="75" t="s">
        <v>6</v>
      </c>
      <c r="D159" s="75" t="s">
        <v>7</v>
      </c>
      <c r="E159" s="75" t="s">
        <v>8</v>
      </c>
      <c r="F159" s="75" t="s">
        <v>9</v>
      </c>
    </row>
    <row r="160">
      <c r="A160" s="76">
        <v>1.0</v>
      </c>
      <c r="B160" s="93" t="s">
        <v>107</v>
      </c>
      <c r="C160" s="94">
        <v>46113.0</v>
      </c>
      <c r="D160" s="78">
        <v>8207.7</v>
      </c>
      <c r="E160" s="95"/>
      <c r="F160" s="80"/>
    </row>
    <row r="161">
      <c r="A161" s="81" t="s">
        <v>106</v>
      </c>
      <c r="B161" s="31"/>
      <c r="C161" s="32"/>
      <c r="D161" s="82">
        <f>round(D160*10%,2)</f>
        <v>820.77</v>
      </c>
      <c r="E161" s="96"/>
      <c r="F161" s="80"/>
    </row>
    <row r="162">
      <c r="A162" s="81" t="s">
        <v>34</v>
      </c>
      <c r="B162" s="31"/>
      <c r="C162" s="32"/>
      <c r="D162" s="82">
        <f>round(D160*12%,2)</f>
        <v>984.92</v>
      </c>
      <c r="E162" s="96"/>
      <c r="F162" s="80"/>
    </row>
    <row r="163">
      <c r="A163" s="85" t="s">
        <v>9</v>
      </c>
      <c r="B163" s="31"/>
      <c r="C163" s="32"/>
      <c r="D163" s="86">
        <f>D160+D161-D162</f>
        <v>8043.55</v>
      </c>
      <c r="E163" s="97">
        <v>26368.0</v>
      </c>
      <c r="F163" s="87">
        <f>round(D163*E163,0)</f>
        <v>212092326</v>
      </c>
    </row>
    <row r="164">
      <c r="A164" s="85" t="s">
        <v>26</v>
      </c>
      <c r="B164" s="31"/>
      <c r="C164" s="32"/>
      <c r="D164" s="88"/>
      <c r="E164" s="95"/>
      <c r="F164" s="87">
        <f>round(F163*10%,0)</f>
        <v>21209233</v>
      </c>
    </row>
    <row r="165">
      <c r="A165" s="85" t="s">
        <v>16</v>
      </c>
      <c r="B165" s="31"/>
      <c r="C165" s="32"/>
      <c r="D165" s="88"/>
      <c r="E165" s="95"/>
      <c r="F165" s="87">
        <f>F163+F164</f>
        <v>233301559</v>
      </c>
    </row>
    <row r="171">
      <c r="A171" s="91" t="s">
        <v>105</v>
      </c>
    </row>
    <row r="172">
      <c r="A172" s="92"/>
      <c r="B172" s="92"/>
      <c r="C172" s="92"/>
      <c r="D172" s="92"/>
      <c r="E172" s="92"/>
      <c r="F172" s="92"/>
    </row>
    <row r="173">
      <c r="A173" s="75" t="s">
        <v>4</v>
      </c>
      <c r="B173" s="75" t="s">
        <v>5</v>
      </c>
      <c r="C173" s="75" t="s">
        <v>6</v>
      </c>
      <c r="D173" s="75" t="s">
        <v>7</v>
      </c>
      <c r="E173" s="75" t="s">
        <v>8</v>
      </c>
      <c r="F173" s="75" t="s">
        <v>9</v>
      </c>
    </row>
    <row r="174">
      <c r="A174" s="76">
        <v>1.0</v>
      </c>
      <c r="B174" s="93" t="s">
        <v>107</v>
      </c>
      <c r="C174" s="94">
        <v>46143.0</v>
      </c>
      <c r="D174" s="78">
        <v>8727.61</v>
      </c>
      <c r="E174" s="95"/>
      <c r="F174" s="80"/>
    </row>
    <row r="175">
      <c r="A175" s="81" t="s">
        <v>106</v>
      </c>
      <c r="B175" s="31"/>
      <c r="C175" s="32"/>
      <c r="D175" s="82">
        <f>round(D174*10%,2)</f>
        <v>872.76</v>
      </c>
      <c r="E175" s="96"/>
      <c r="F175" s="80"/>
    </row>
    <row r="176">
      <c r="A176" s="81" t="s">
        <v>34</v>
      </c>
      <c r="B176" s="31"/>
      <c r="C176" s="32"/>
      <c r="D176" s="82">
        <f>round(D174*12%,2)</f>
        <v>1047.31</v>
      </c>
      <c r="E176" s="96"/>
      <c r="F176" s="80"/>
    </row>
    <row r="177">
      <c r="A177" s="85" t="s">
        <v>9</v>
      </c>
      <c r="B177" s="31"/>
      <c r="C177" s="32"/>
      <c r="D177" s="86">
        <f>D174+D175-D176</f>
        <v>8553.06</v>
      </c>
      <c r="E177" s="97">
        <v>26395.0</v>
      </c>
      <c r="F177" s="87">
        <f>round(D177*E177,0)</f>
        <v>225758019</v>
      </c>
    </row>
    <row r="178">
      <c r="A178" s="85" t="s">
        <v>26</v>
      </c>
      <c r="B178" s="31"/>
      <c r="C178" s="32"/>
      <c r="D178" s="88"/>
      <c r="E178" s="95"/>
      <c r="F178" s="87">
        <f>round(F177*10%,0)</f>
        <v>22575802</v>
      </c>
    </row>
    <row r="179">
      <c r="A179" s="85" t="s">
        <v>16</v>
      </c>
      <c r="B179" s="31"/>
      <c r="C179" s="32"/>
      <c r="D179" s="88"/>
      <c r="E179" s="95"/>
      <c r="F179" s="87">
        <f>F177+F178</f>
        <v>248333821</v>
      </c>
    </row>
    <row r="185">
      <c r="A185" s="91" t="s">
        <v>105</v>
      </c>
    </row>
    <row r="186">
      <c r="A186" s="92"/>
      <c r="B186" s="92"/>
      <c r="C186" s="92"/>
      <c r="D186" s="92"/>
      <c r="E186" s="92"/>
      <c r="F186" s="92"/>
    </row>
    <row r="187">
      <c r="A187" s="75" t="s">
        <v>4</v>
      </c>
      <c r="B187" s="75" t="s">
        <v>5</v>
      </c>
      <c r="C187" s="75" t="s">
        <v>6</v>
      </c>
      <c r="D187" s="75" t="s">
        <v>7</v>
      </c>
      <c r="E187" s="75" t="s">
        <v>8</v>
      </c>
      <c r="F187" s="75" t="s">
        <v>9</v>
      </c>
    </row>
    <row r="188">
      <c r="A188" s="76">
        <v>1.0</v>
      </c>
      <c r="B188" s="93" t="s">
        <v>107</v>
      </c>
      <c r="C188" s="94">
        <v>46174.0</v>
      </c>
      <c r="D188" s="78">
        <v>9195.31</v>
      </c>
      <c r="E188" s="95"/>
      <c r="F188" s="80"/>
    </row>
    <row r="189">
      <c r="A189" s="81" t="s">
        <v>106</v>
      </c>
      <c r="B189" s="31"/>
      <c r="C189" s="32"/>
      <c r="D189" s="82">
        <f>round(D188*10%,2)</f>
        <v>919.53</v>
      </c>
      <c r="E189" s="96"/>
      <c r="F189" s="80"/>
    </row>
    <row r="190">
      <c r="A190" s="81" t="s">
        <v>34</v>
      </c>
      <c r="B190" s="31"/>
      <c r="C190" s="32"/>
      <c r="D190" s="82">
        <f>round(D188*12%,2)</f>
        <v>1103.44</v>
      </c>
      <c r="E190" s="96"/>
      <c r="F190" s="80"/>
    </row>
    <row r="191">
      <c r="A191" s="85" t="s">
        <v>9</v>
      </c>
      <c r="B191" s="31"/>
      <c r="C191" s="32"/>
      <c r="D191" s="86">
        <f>D188+D189-D190</f>
        <v>9011.4</v>
      </c>
      <c r="E191" s="97">
        <v>26466.0</v>
      </c>
      <c r="F191" s="87">
        <f>round(D191*E191,0)</f>
        <v>238495712</v>
      </c>
    </row>
    <row r="192">
      <c r="A192" s="85" t="s">
        <v>26</v>
      </c>
      <c r="B192" s="31"/>
      <c r="C192" s="32"/>
      <c r="D192" s="88"/>
      <c r="E192" s="95"/>
      <c r="F192" s="87">
        <f>round(F191*10%,0)</f>
        <v>23849571</v>
      </c>
    </row>
    <row r="193">
      <c r="A193" s="85" t="s">
        <v>16</v>
      </c>
      <c r="B193" s="31"/>
      <c r="C193" s="32"/>
      <c r="D193" s="88"/>
      <c r="E193" s="95"/>
      <c r="F193" s="87">
        <f>F191+F192</f>
        <v>262345283</v>
      </c>
    </row>
    <row r="199">
      <c r="A199" s="91" t="s">
        <v>105</v>
      </c>
    </row>
    <row r="200">
      <c r="A200" s="92"/>
      <c r="B200" s="92"/>
      <c r="C200" s="92"/>
      <c r="D200" s="92"/>
      <c r="E200" s="92"/>
      <c r="F200" s="92"/>
    </row>
    <row r="201">
      <c r="A201" s="75" t="s">
        <v>4</v>
      </c>
      <c r="B201" s="75" t="s">
        <v>5</v>
      </c>
      <c r="C201" s="75" t="s">
        <v>6</v>
      </c>
      <c r="D201" s="75" t="s">
        <v>7</v>
      </c>
      <c r="E201" s="75" t="s">
        <v>8</v>
      </c>
      <c r="F201" s="75" t="s">
        <v>9</v>
      </c>
    </row>
    <row r="202">
      <c r="A202" s="76">
        <v>1.0</v>
      </c>
      <c r="B202" s="93" t="s">
        <v>107</v>
      </c>
      <c r="C202" s="94">
        <v>46204.0</v>
      </c>
      <c r="D202" s="78">
        <v>10254.48</v>
      </c>
      <c r="E202" s="95"/>
      <c r="F202" s="80"/>
    </row>
    <row r="203">
      <c r="A203" s="81" t="s">
        <v>106</v>
      </c>
      <c r="B203" s="31"/>
      <c r="C203" s="32"/>
      <c r="D203" s="82">
        <f>round(D202*10%,2)</f>
        <v>1025.45</v>
      </c>
      <c r="E203" s="96"/>
      <c r="F203" s="80"/>
    </row>
    <row r="204">
      <c r="A204" s="81" t="s">
        <v>34</v>
      </c>
      <c r="B204" s="31"/>
      <c r="C204" s="32"/>
      <c r="D204" s="82">
        <f>round(D202*12%,2)</f>
        <v>1230.54</v>
      </c>
      <c r="E204" s="96"/>
      <c r="F204" s="80"/>
    </row>
    <row r="205">
      <c r="A205" s="85" t="s">
        <v>9</v>
      </c>
      <c r="B205" s="31"/>
      <c r="C205" s="32"/>
      <c r="D205" s="86">
        <f>D202+D203-D204</f>
        <v>10049.39</v>
      </c>
      <c r="E205" s="97">
        <v>26475.0</v>
      </c>
      <c r="F205" s="87">
        <f>round(D205*E205,0)</f>
        <v>266057600</v>
      </c>
    </row>
    <row r="206">
      <c r="A206" s="85" t="s">
        <v>26</v>
      </c>
      <c r="B206" s="31"/>
      <c r="C206" s="32"/>
      <c r="D206" s="88"/>
      <c r="E206" s="95"/>
      <c r="F206" s="87">
        <f>round(F205*10%,0)</f>
        <v>26605760</v>
      </c>
    </row>
    <row r="207">
      <c r="A207" s="85" t="s">
        <v>16</v>
      </c>
      <c r="B207" s="31"/>
      <c r="C207" s="32"/>
      <c r="D207" s="88"/>
      <c r="E207" s="95"/>
      <c r="F207" s="87">
        <f>F205+F206</f>
        <v>292663360</v>
      </c>
    </row>
  </sheetData>
  <mergeCells count="96">
    <mergeCell ref="A108:C108"/>
    <mergeCell ref="A109:C109"/>
    <mergeCell ref="A110:C110"/>
    <mergeCell ref="A111:C111"/>
    <mergeCell ref="A112:C112"/>
    <mergeCell ref="A118:F118"/>
    <mergeCell ref="A122:C122"/>
    <mergeCell ref="A123:C123"/>
    <mergeCell ref="A124:C124"/>
    <mergeCell ref="A125:C125"/>
    <mergeCell ref="A126:C126"/>
    <mergeCell ref="A131:F131"/>
    <mergeCell ref="A135:C135"/>
    <mergeCell ref="A136:C136"/>
    <mergeCell ref="A137:C137"/>
    <mergeCell ref="A138:C138"/>
    <mergeCell ref="A139:C139"/>
    <mergeCell ref="A144:F144"/>
    <mergeCell ref="A148:C148"/>
    <mergeCell ref="A149:C149"/>
    <mergeCell ref="A150:C150"/>
    <mergeCell ref="A151:C151"/>
    <mergeCell ref="A152:C152"/>
    <mergeCell ref="A157:F157"/>
    <mergeCell ref="A161:C161"/>
    <mergeCell ref="A162:C162"/>
    <mergeCell ref="A163:C163"/>
    <mergeCell ref="A164:C164"/>
    <mergeCell ref="A165:C165"/>
    <mergeCell ref="A171:F171"/>
    <mergeCell ref="A175:C175"/>
    <mergeCell ref="A176:C176"/>
    <mergeCell ref="A177:C177"/>
    <mergeCell ref="A178:C178"/>
    <mergeCell ref="A179:C179"/>
    <mergeCell ref="A203:C203"/>
    <mergeCell ref="A204:C204"/>
    <mergeCell ref="A205:C205"/>
    <mergeCell ref="A206:C206"/>
    <mergeCell ref="A207:C207"/>
    <mergeCell ref="A185:F185"/>
    <mergeCell ref="A189:C189"/>
    <mergeCell ref="A190:C190"/>
    <mergeCell ref="A191:C191"/>
    <mergeCell ref="A192:C192"/>
    <mergeCell ref="A193:C193"/>
    <mergeCell ref="A199:F199"/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6:F26"/>
    <mergeCell ref="A30:C30"/>
    <mergeCell ref="A31:C31"/>
    <mergeCell ref="A32:C32"/>
    <mergeCell ref="A33:C33"/>
    <mergeCell ref="A34:C34"/>
    <mergeCell ref="A38:F38"/>
    <mergeCell ref="A42:C42"/>
    <mergeCell ref="A43:C43"/>
    <mergeCell ref="A44:C44"/>
    <mergeCell ref="A45:C45"/>
    <mergeCell ref="A46:C46"/>
    <mergeCell ref="A51:F51"/>
    <mergeCell ref="A55:C55"/>
    <mergeCell ref="A56:C56"/>
    <mergeCell ref="A57:C57"/>
    <mergeCell ref="A58:C58"/>
    <mergeCell ref="A59:C59"/>
    <mergeCell ref="A64:F64"/>
    <mergeCell ref="A68:C68"/>
    <mergeCell ref="A69:C69"/>
    <mergeCell ref="A70:C70"/>
    <mergeCell ref="A71:C71"/>
    <mergeCell ref="A72:C72"/>
    <mergeCell ref="A77:F77"/>
    <mergeCell ref="A81:C81"/>
    <mergeCell ref="A82:C82"/>
    <mergeCell ref="A83:C83"/>
    <mergeCell ref="A84:C84"/>
    <mergeCell ref="A85:C85"/>
    <mergeCell ref="A90:F90"/>
    <mergeCell ref="A94:C94"/>
    <mergeCell ref="A95:C95"/>
    <mergeCell ref="A96:C96"/>
    <mergeCell ref="A97:C97"/>
    <mergeCell ref="A98:C98"/>
    <mergeCell ref="A104:F104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50.63"/>
    <col customWidth="1" min="3" max="3" width="10.75"/>
    <col customWidth="1" min="4" max="4" width="18.13"/>
    <col customWidth="1" min="5" max="5" width="10.0"/>
    <col customWidth="1" min="6" max="6" width="17.13"/>
    <col customWidth="1" min="7" max="26" width="10.13"/>
  </cols>
  <sheetData>
    <row r="1">
      <c r="A1" s="52" t="s">
        <v>108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109</v>
      </c>
      <c r="C4" s="55">
        <v>45809.0</v>
      </c>
      <c r="D4" s="22">
        <v>86.4</v>
      </c>
      <c r="E4" s="56"/>
      <c r="F4" s="28"/>
    </row>
    <row r="5">
      <c r="A5" s="30" t="s">
        <v>104</v>
      </c>
      <c r="B5" s="31"/>
      <c r="C5" s="32"/>
      <c r="D5" s="24">
        <f>round(D4*5.26%,2)</f>
        <v>4.54</v>
      </c>
      <c r="E5" s="57"/>
      <c r="F5" s="28"/>
    </row>
    <row r="6">
      <c r="A6" s="30" t="s">
        <v>24</v>
      </c>
      <c r="B6" s="31"/>
      <c r="C6" s="32"/>
      <c r="D6" s="24">
        <f>round(D4*10%,2)</f>
        <v>8.64</v>
      </c>
      <c r="E6" s="57"/>
      <c r="F6" s="28"/>
    </row>
    <row r="7">
      <c r="A7" s="33" t="s">
        <v>9</v>
      </c>
      <c r="B7" s="31"/>
      <c r="C7" s="32"/>
      <c r="D7" s="39">
        <f>D4+D5-D6</f>
        <v>82.3</v>
      </c>
      <c r="E7" s="90">
        <v>26300.0</v>
      </c>
      <c r="F7" s="41">
        <f>round(D7*E7,0)</f>
        <v>2164490</v>
      </c>
    </row>
    <row r="8">
      <c r="A8" s="33" t="s">
        <v>26</v>
      </c>
      <c r="B8" s="31"/>
      <c r="C8" s="32"/>
      <c r="D8" s="39"/>
      <c r="E8" s="90"/>
      <c r="F8" s="41">
        <f>round(F7*10%,0)</f>
        <v>216449</v>
      </c>
    </row>
    <row r="9">
      <c r="A9" s="33" t="s">
        <v>16</v>
      </c>
      <c r="B9" s="31"/>
      <c r="C9" s="32"/>
      <c r="D9" s="39"/>
      <c r="E9" s="90"/>
      <c r="F9" s="41">
        <f>F7+F8</f>
        <v>2380939</v>
      </c>
    </row>
    <row r="13">
      <c r="A13" s="52" t="s">
        <v>108</v>
      </c>
    </row>
    <row r="14">
      <c r="A14" s="53"/>
      <c r="B14" s="53"/>
      <c r="C14" s="53"/>
      <c r="D14" s="53"/>
      <c r="E14" s="53"/>
      <c r="F14" s="53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>
      <c r="A16" s="13">
        <v>1.0</v>
      </c>
      <c r="B16" s="54" t="s">
        <v>109</v>
      </c>
      <c r="C16" s="55">
        <v>45839.0</v>
      </c>
      <c r="D16" s="22">
        <v>86.4</v>
      </c>
      <c r="E16" s="56"/>
      <c r="F16" s="28"/>
    </row>
    <row r="17">
      <c r="A17" s="30" t="s">
        <v>106</v>
      </c>
      <c r="B17" s="31"/>
      <c r="C17" s="32"/>
      <c r="D17" s="24">
        <f>round(D16*10%,2)</f>
        <v>8.64</v>
      </c>
      <c r="E17" s="57"/>
      <c r="F17" s="28"/>
    </row>
    <row r="18">
      <c r="A18" s="30" t="s">
        <v>24</v>
      </c>
      <c r="B18" s="31"/>
      <c r="C18" s="32"/>
      <c r="D18" s="24">
        <f>round(D16*10%,2)</f>
        <v>8.64</v>
      </c>
      <c r="E18" s="57"/>
      <c r="F18" s="28"/>
    </row>
    <row r="19">
      <c r="A19" s="33" t="s">
        <v>9</v>
      </c>
      <c r="B19" s="31"/>
      <c r="C19" s="32"/>
      <c r="D19" s="39">
        <f>D16+D17-D18</f>
        <v>86.4</v>
      </c>
      <c r="E19" s="90">
        <v>26382.0</v>
      </c>
      <c r="F19" s="41">
        <f>round(D19*E19,0)</f>
        <v>2279405</v>
      </c>
    </row>
    <row r="20">
      <c r="A20" s="33" t="s">
        <v>26</v>
      </c>
      <c r="B20" s="31"/>
      <c r="C20" s="32"/>
      <c r="D20" s="39"/>
      <c r="E20" s="90"/>
      <c r="F20" s="41">
        <f>round(F19*10%,0)</f>
        <v>227941</v>
      </c>
    </row>
    <row r="21">
      <c r="A21" s="33" t="s">
        <v>16</v>
      </c>
      <c r="B21" s="31"/>
      <c r="C21" s="32"/>
      <c r="D21" s="39"/>
      <c r="E21" s="90"/>
      <c r="F21" s="41">
        <f>F19+F20</f>
        <v>2507346</v>
      </c>
    </row>
    <row r="26">
      <c r="A26" s="52" t="s">
        <v>108</v>
      </c>
    </row>
    <row r="27">
      <c r="A27" s="53"/>
      <c r="B27" s="53"/>
      <c r="C27" s="53"/>
      <c r="D27" s="53"/>
      <c r="E27" s="53"/>
      <c r="F27" s="53"/>
    </row>
    <row r="28">
      <c r="A28" s="9" t="s">
        <v>4</v>
      </c>
      <c r="B28" s="9" t="s">
        <v>5</v>
      </c>
      <c r="C28" s="9" t="s">
        <v>6</v>
      </c>
      <c r="D28" s="9" t="s">
        <v>7</v>
      </c>
      <c r="E28" s="9" t="s">
        <v>8</v>
      </c>
      <c r="F28" s="9" t="s">
        <v>9</v>
      </c>
    </row>
    <row r="29">
      <c r="A29" s="13">
        <v>1.0</v>
      </c>
      <c r="B29" s="54" t="s">
        <v>109</v>
      </c>
      <c r="C29" s="55">
        <v>45870.0</v>
      </c>
      <c r="D29" s="22">
        <v>86.4</v>
      </c>
      <c r="E29" s="56"/>
      <c r="F29" s="28"/>
    </row>
    <row r="30">
      <c r="A30" s="30" t="s">
        <v>106</v>
      </c>
      <c r="B30" s="31"/>
      <c r="C30" s="32"/>
      <c r="D30" s="24">
        <f>round(D29*10%,2)</f>
        <v>8.64</v>
      </c>
      <c r="E30" s="57"/>
      <c r="F30" s="28"/>
    </row>
    <row r="31">
      <c r="A31" s="30" t="s">
        <v>24</v>
      </c>
      <c r="B31" s="31"/>
      <c r="C31" s="32"/>
      <c r="D31" s="24">
        <f>round(D29*10%,2)</f>
        <v>8.64</v>
      </c>
      <c r="E31" s="57"/>
      <c r="F31" s="28"/>
    </row>
    <row r="32">
      <c r="A32" s="33" t="s">
        <v>9</v>
      </c>
      <c r="B32" s="31"/>
      <c r="C32" s="32"/>
      <c r="D32" s="39">
        <f>D29+D30-D31</f>
        <v>86.4</v>
      </c>
      <c r="E32" s="90">
        <v>26502.0</v>
      </c>
      <c r="F32" s="41">
        <f>round(D32*E32,0)</f>
        <v>2289773</v>
      </c>
    </row>
    <row r="33">
      <c r="A33" s="33" t="s">
        <v>26</v>
      </c>
      <c r="B33" s="31"/>
      <c r="C33" s="32"/>
      <c r="D33" s="39"/>
      <c r="E33" s="90"/>
      <c r="F33" s="41">
        <f>round(F32*10%,0)</f>
        <v>228977</v>
      </c>
    </row>
    <row r="34">
      <c r="A34" s="33" t="s">
        <v>16</v>
      </c>
      <c r="B34" s="31"/>
      <c r="C34" s="32"/>
      <c r="D34" s="39"/>
      <c r="E34" s="90"/>
      <c r="F34" s="41">
        <f>F32+F33</f>
        <v>2518750</v>
      </c>
    </row>
    <row r="39">
      <c r="A39" s="52" t="s">
        <v>108</v>
      </c>
    </row>
    <row r="40">
      <c r="A40" s="53"/>
      <c r="B40" s="53"/>
      <c r="C40" s="53"/>
      <c r="D40" s="53"/>
      <c r="E40" s="53"/>
      <c r="F40" s="53"/>
    </row>
    <row r="41">
      <c r="A41" s="9" t="s">
        <v>4</v>
      </c>
      <c r="B41" s="9" t="s">
        <v>5</v>
      </c>
      <c r="C41" s="9" t="s">
        <v>6</v>
      </c>
      <c r="D41" s="9" t="s">
        <v>7</v>
      </c>
      <c r="E41" s="9" t="s">
        <v>8</v>
      </c>
      <c r="F41" s="9" t="s">
        <v>9</v>
      </c>
    </row>
    <row r="42">
      <c r="A42" s="13">
        <v>1.0</v>
      </c>
      <c r="B42" s="54" t="s">
        <v>109</v>
      </c>
      <c r="C42" s="55">
        <v>45901.0</v>
      </c>
      <c r="D42" s="22">
        <v>86.4</v>
      </c>
      <c r="E42" s="56"/>
      <c r="F42" s="28"/>
    </row>
    <row r="43">
      <c r="A43" s="30" t="s">
        <v>106</v>
      </c>
      <c r="B43" s="31"/>
      <c r="C43" s="32"/>
      <c r="D43" s="24">
        <f>round(D42*10%,2)</f>
        <v>8.64</v>
      </c>
      <c r="E43" s="57"/>
      <c r="F43" s="28"/>
    </row>
    <row r="44">
      <c r="A44" s="30" t="s">
        <v>24</v>
      </c>
      <c r="B44" s="31"/>
      <c r="C44" s="32"/>
      <c r="D44" s="24">
        <f>round(D42*10%,2)</f>
        <v>8.64</v>
      </c>
      <c r="E44" s="57"/>
      <c r="F44" s="28"/>
    </row>
    <row r="45">
      <c r="A45" s="33" t="s">
        <v>9</v>
      </c>
      <c r="B45" s="31"/>
      <c r="C45" s="32"/>
      <c r="D45" s="39">
        <f>D42+D43-D44</f>
        <v>86.4</v>
      </c>
      <c r="E45" s="90">
        <v>26446.0</v>
      </c>
      <c r="F45" s="41">
        <f>round(D45*E45,0)</f>
        <v>2284934</v>
      </c>
    </row>
    <row r="46">
      <c r="A46" s="33" t="s">
        <v>26</v>
      </c>
      <c r="B46" s="31"/>
      <c r="C46" s="32"/>
      <c r="D46" s="39"/>
      <c r="E46" s="90"/>
      <c r="F46" s="41">
        <f>round(F45*10%,0)</f>
        <v>228493</v>
      </c>
    </row>
    <row r="47">
      <c r="A47" s="33" t="s">
        <v>16</v>
      </c>
      <c r="B47" s="31"/>
      <c r="C47" s="32"/>
      <c r="D47" s="39"/>
      <c r="E47" s="90"/>
      <c r="F47" s="41">
        <f>F45+F46</f>
        <v>2513427</v>
      </c>
    </row>
    <row r="53">
      <c r="A53" s="52" t="s">
        <v>108</v>
      </c>
    </row>
    <row r="54">
      <c r="A54" s="53"/>
      <c r="B54" s="53"/>
      <c r="C54" s="53"/>
      <c r="D54" s="53"/>
      <c r="E54" s="53"/>
      <c r="F54" s="53"/>
    </row>
    <row r="55">
      <c r="A55" s="9" t="s">
        <v>4</v>
      </c>
      <c r="B55" s="9" t="s">
        <v>5</v>
      </c>
      <c r="C55" s="9" t="s">
        <v>6</v>
      </c>
      <c r="D55" s="9" t="s">
        <v>7</v>
      </c>
      <c r="E55" s="9" t="s">
        <v>8</v>
      </c>
      <c r="F55" s="9" t="s">
        <v>9</v>
      </c>
    </row>
    <row r="56">
      <c r="A56" s="13">
        <v>1.0</v>
      </c>
      <c r="B56" s="54" t="s">
        <v>109</v>
      </c>
      <c r="C56" s="55">
        <v>45931.0</v>
      </c>
      <c r="D56" s="22">
        <v>86.4</v>
      </c>
      <c r="E56" s="56"/>
      <c r="F56" s="28"/>
    </row>
    <row r="57">
      <c r="A57" s="30" t="s">
        <v>106</v>
      </c>
      <c r="B57" s="31"/>
      <c r="C57" s="32"/>
      <c r="D57" s="24">
        <f>round(D56*10%,2)</f>
        <v>8.64</v>
      </c>
      <c r="E57" s="57"/>
      <c r="F57" s="28"/>
    </row>
    <row r="58">
      <c r="A58" s="30" t="s">
        <v>24</v>
      </c>
      <c r="B58" s="31"/>
      <c r="C58" s="32"/>
      <c r="D58" s="24">
        <f>round(D56*10%,2)</f>
        <v>8.64</v>
      </c>
      <c r="E58" s="57"/>
      <c r="F58" s="28"/>
    </row>
    <row r="59">
      <c r="A59" s="33" t="s">
        <v>9</v>
      </c>
      <c r="B59" s="31"/>
      <c r="C59" s="32"/>
      <c r="D59" s="39">
        <f>D56+D57-D58</f>
        <v>86.4</v>
      </c>
      <c r="E59" s="90">
        <v>26347.0</v>
      </c>
      <c r="F59" s="41">
        <f>round(D59*E59,0)</f>
        <v>2276381</v>
      </c>
    </row>
    <row r="60">
      <c r="A60" s="33" t="s">
        <v>26</v>
      </c>
      <c r="B60" s="31"/>
      <c r="C60" s="32"/>
      <c r="D60" s="39"/>
      <c r="E60" s="90"/>
      <c r="F60" s="41">
        <f>round(F59*10%,0)</f>
        <v>227638</v>
      </c>
    </row>
    <row r="61">
      <c r="A61" s="33" t="s">
        <v>16</v>
      </c>
      <c r="B61" s="31"/>
      <c r="C61" s="32"/>
      <c r="D61" s="39"/>
      <c r="E61" s="90"/>
      <c r="F61" s="41">
        <f>F59+F60</f>
        <v>2504019</v>
      </c>
    </row>
    <row r="66">
      <c r="A66" s="52" t="s">
        <v>108</v>
      </c>
    </row>
    <row r="67">
      <c r="A67" s="53"/>
      <c r="B67" s="53"/>
      <c r="C67" s="53"/>
      <c r="D67" s="53"/>
      <c r="E67" s="53"/>
      <c r="F67" s="53"/>
    </row>
    <row r="68">
      <c r="A68" s="9" t="s">
        <v>4</v>
      </c>
      <c r="B68" s="9" t="s">
        <v>5</v>
      </c>
      <c r="C68" s="9" t="s">
        <v>6</v>
      </c>
      <c r="D68" s="9" t="s">
        <v>7</v>
      </c>
      <c r="E68" s="9" t="s">
        <v>8</v>
      </c>
      <c r="F68" s="9" t="s">
        <v>9</v>
      </c>
    </row>
    <row r="69">
      <c r="A69" s="13">
        <v>1.0</v>
      </c>
      <c r="B69" s="54" t="s">
        <v>109</v>
      </c>
      <c r="C69" s="55">
        <v>45962.0</v>
      </c>
      <c r="D69" s="22">
        <v>86.4</v>
      </c>
      <c r="E69" s="56"/>
      <c r="F69" s="28"/>
    </row>
    <row r="70">
      <c r="A70" s="30" t="s">
        <v>106</v>
      </c>
      <c r="B70" s="31"/>
      <c r="C70" s="32"/>
      <c r="D70" s="24">
        <f>round(D69*10%,2)</f>
        <v>8.64</v>
      </c>
      <c r="E70" s="57"/>
      <c r="F70" s="28"/>
    </row>
    <row r="71">
      <c r="A71" s="30" t="s">
        <v>24</v>
      </c>
      <c r="B71" s="31"/>
      <c r="C71" s="32"/>
      <c r="D71" s="24">
        <f>round(D69*10%,2)</f>
        <v>8.64</v>
      </c>
      <c r="E71" s="57"/>
      <c r="F71" s="28"/>
    </row>
    <row r="72">
      <c r="A72" s="33" t="s">
        <v>9</v>
      </c>
      <c r="B72" s="31"/>
      <c r="C72" s="32"/>
      <c r="D72" s="39">
        <f>D69+D70-D71</f>
        <v>86.4</v>
      </c>
      <c r="E72" s="90">
        <v>26412.0</v>
      </c>
      <c r="F72" s="41">
        <f>round(D72*E72,0)</f>
        <v>2281997</v>
      </c>
    </row>
    <row r="73">
      <c r="A73" s="33" t="s">
        <v>26</v>
      </c>
      <c r="B73" s="31"/>
      <c r="C73" s="32"/>
      <c r="D73" s="39"/>
      <c r="E73" s="90"/>
      <c r="F73" s="41">
        <f>round(F72*10%,0)</f>
        <v>228200</v>
      </c>
    </row>
    <row r="74">
      <c r="A74" s="33" t="s">
        <v>16</v>
      </c>
      <c r="B74" s="31"/>
      <c r="C74" s="32"/>
      <c r="D74" s="39"/>
      <c r="E74" s="90"/>
      <c r="F74" s="41">
        <f>F72+F73</f>
        <v>2510197</v>
      </c>
    </row>
    <row r="80">
      <c r="A80" s="52" t="s">
        <v>108</v>
      </c>
    </row>
    <row r="81">
      <c r="A81" s="53"/>
      <c r="B81" s="53"/>
      <c r="C81" s="53"/>
      <c r="D81" s="53"/>
      <c r="E81" s="53"/>
      <c r="F81" s="53"/>
    </row>
    <row r="82">
      <c r="A82" s="9" t="s">
        <v>4</v>
      </c>
      <c r="B82" s="9" t="s">
        <v>5</v>
      </c>
      <c r="C82" s="9" t="s">
        <v>6</v>
      </c>
      <c r="D82" s="9" t="s">
        <v>7</v>
      </c>
      <c r="E82" s="9" t="s">
        <v>8</v>
      </c>
      <c r="F82" s="9" t="s">
        <v>9</v>
      </c>
    </row>
    <row r="83">
      <c r="A83" s="13">
        <v>1.0</v>
      </c>
      <c r="B83" s="54" t="s">
        <v>109</v>
      </c>
      <c r="C83" s="55">
        <v>45992.0</v>
      </c>
      <c r="D83" s="22">
        <v>86.4</v>
      </c>
      <c r="E83" s="56"/>
      <c r="F83" s="28"/>
    </row>
    <row r="84">
      <c r="A84" s="30" t="s">
        <v>106</v>
      </c>
      <c r="B84" s="31"/>
      <c r="C84" s="32"/>
      <c r="D84" s="24">
        <f>round(D83*10%,2)</f>
        <v>8.64</v>
      </c>
      <c r="E84" s="57"/>
      <c r="F84" s="28"/>
    </row>
    <row r="85">
      <c r="A85" s="30" t="s">
        <v>24</v>
      </c>
      <c r="B85" s="31"/>
      <c r="C85" s="32"/>
      <c r="D85" s="24">
        <f>round(D83*10%,2)</f>
        <v>8.64</v>
      </c>
      <c r="E85" s="57"/>
      <c r="F85" s="28"/>
    </row>
    <row r="86">
      <c r="A86" s="33" t="s">
        <v>9</v>
      </c>
      <c r="B86" s="31"/>
      <c r="C86" s="32"/>
      <c r="D86" s="39">
        <f>D83+D84-D85</f>
        <v>86.4</v>
      </c>
      <c r="E86" s="90">
        <v>26377.0</v>
      </c>
      <c r="F86" s="41">
        <f>round(D86*E86,0)</f>
        <v>2278973</v>
      </c>
    </row>
    <row r="87">
      <c r="A87" s="33" t="s">
        <v>26</v>
      </c>
      <c r="B87" s="31"/>
      <c r="C87" s="32"/>
      <c r="D87" s="39"/>
      <c r="E87" s="90"/>
      <c r="F87" s="41">
        <f>round(F86*10%,0)</f>
        <v>227897</v>
      </c>
    </row>
    <row r="88">
      <c r="A88" s="33" t="s">
        <v>16</v>
      </c>
      <c r="B88" s="31"/>
      <c r="C88" s="32"/>
      <c r="D88" s="39"/>
      <c r="E88" s="90"/>
      <c r="F88" s="41">
        <f>F86+F87</f>
        <v>2506870</v>
      </c>
    </row>
    <row r="94">
      <c r="A94" s="52" t="s">
        <v>108</v>
      </c>
    </row>
    <row r="95">
      <c r="A95" s="53"/>
      <c r="B95" s="53"/>
      <c r="C95" s="53"/>
      <c r="D95" s="53"/>
      <c r="E95" s="53"/>
      <c r="F95" s="53"/>
    </row>
    <row r="96">
      <c r="A96" s="9" t="s">
        <v>4</v>
      </c>
      <c r="B96" s="9" t="s">
        <v>5</v>
      </c>
      <c r="C96" s="9" t="s">
        <v>6</v>
      </c>
      <c r="D96" s="9" t="s">
        <v>7</v>
      </c>
      <c r="E96" s="9" t="s">
        <v>8</v>
      </c>
      <c r="F96" s="9" t="s">
        <v>9</v>
      </c>
    </row>
    <row r="97">
      <c r="A97" s="13">
        <v>1.0</v>
      </c>
      <c r="B97" s="54" t="s">
        <v>109</v>
      </c>
      <c r="C97" s="55">
        <v>46023.0</v>
      </c>
      <c r="D97" s="22">
        <v>86.4</v>
      </c>
      <c r="E97" s="56"/>
      <c r="F97" s="28"/>
    </row>
    <row r="98">
      <c r="A98" s="30" t="s">
        <v>106</v>
      </c>
      <c r="B98" s="31"/>
      <c r="C98" s="32"/>
      <c r="D98" s="24">
        <f>round(D97*10%,2)</f>
        <v>8.64</v>
      </c>
      <c r="E98" s="57"/>
      <c r="F98" s="28"/>
    </row>
    <row r="99">
      <c r="A99" s="30" t="s">
        <v>24</v>
      </c>
      <c r="B99" s="31"/>
      <c r="C99" s="32"/>
      <c r="D99" s="24">
        <f>round(D97*10%,2)</f>
        <v>8.64</v>
      </c>
      <c r="E99" s="57"/>
      <c r="F99" s="28"/>
    </row>
    <row r="100">
      <c r="A100" s="33" t="s">
        <v>9</v>
      </c>
      <c r="B100" s="31"/>
      <c r="C100" s="32"/>
      <c r="D100" s="39">
        <f>D97+D98-D99</f>
        <v>86.4</v>
      </c>
      <c r="E100" s="90">
        <v>26145.0</v>
      </c>
      <c r="F100" s="41">
        <f>round(D100*E100,0)</f>
        <v>2258928</v>
      </c>
    </row>
    <row r="101">
      <c r="A101" s="33" t="s">
        <v>26</v>
      </c>
      <c r="B101" s="31"/>
      <c r="C101" s="32"/>
      <c r="D101" s="39"/>
      <c r="E101" s="90"/>
      <c r="F101" s="41">
        <f>round(F100*10%,0)</f>
        <v>225893</v>
      </c>
    </row>
    <row r="102">
      <c r="A102" s="33" t="s">
        <v>16</v>
      </c>
      <c r="B102" s="31"/>
      <c r="C102" s="32"/>
      <c r="D102" s="39"/>
      <c r="E102" s="90"/>
      <c r="F102" s="41">
        <f>F100+F101</f>
        <v>2484821</v>
      </c>
    </row>
    <row r="107">
      <c r="A107" s="52" t="s">
        <v>108</v>
      </c>
    </row>
    <row r="108">
      <c r="A108" s="53"/>
      <c r="B108" s="53"/>
      <c r="C108" s="53"/>
      <c r="D108" s="53"/>
      <c r="E108" s="53"/>
      <c r="F108" s="53"/>
    </row>
    <row r="109">
      <c r="A109" s="9" t="s">
        <v>4</v>
      </c>
      <c r="B109" s="9" t="s">
        <v>5</v>
      </c>
      <c r="C109" s="9" t="s">
        <v>6</v>
      </c>
      <c r="D109" s="9" t="s">
        <v>7</v>
      </c>
      <c r="E109" s="9" t="s">
        <v>8</v>
      </c>
      <c r="F109" s="9" t="s">
        <v>9</v>
      </c>
    </row>
    <row r="110">
      <c r="A110" s="13">
        <v>1.0</v>
      </c>
      <c r="B110" s="54" t="s">
        <v>109</v>
      </c>
      <c r="C110" s="55">
        <v>46054.0</v>
      </c>
      <c r="D110" s="22">
        <v>86.4</v>
      </c>
      <c r="E110" s="56"/>
      <c r="F110" s="28"/>
    </row>
    <row r="111">
      <c r="A111" s="30" t="s">
        <v>106</v>
      </c>
      <c r="B111" s="31"/>
      <c r="C111" s="32"/>
      <c r="D111" s="24">
        <f>round(D110*10%,2)</f>
        <v>8.64</v>
      </c>
      <c r="E111" s="57"/>
      <c r="F111" s="28"/>
    </row>
    <row r="112">
      <c r="A112" s="30" t="s">
        <v>24</v>
      </c>
      <c r="B112" s="31"/>
      <c r="C112" s="32"/>
      <c r="D112" s="24">
        <f>round(D110*10%,2)</f>
        <v>8.64</v>
      </c>
      <c r="E112" s="57"/>
      <c r="F112" s="28"/>
    </row>
    <row r="113">
      <c r="A113" s="33" t="s">
        <v>9</v>
      </c>
      <c r="B113" s="31"/>
      <c r="C113" s="32"/>
      <c r="D113" s="39">
        <f>D110+D111-D112</f>
        <v>86.4</v>
      </c>
      <c r="E113" s="90">
        <v>26240.0</v>
      </c>
      <c r="F113" s="41">
        <f>round(D113*E113,0)</f>
        <v>2267136</v>
      </c>
    </row>
    <row r="114">
      <c r="A114" s="33" t="s">
        <v>26</v>
      </c>
      <c r="B114" s="31"/>
      <c r="C114" s="32"/>
      <c r="D114" s="39"/>
      <c r="E114" s="90"/>
      <c r="F114" s="41">
        <f>round(F113*10%,0)</f>
        <v>226714</v>
      </c>
    </row>
    <row r="115">
      <c r="A115" s="33" t="s">
        <v>16</v>
      </c>
      <c r="B115" s="31"/>
      <c r="C115" s="32"/>
      <c r="D115" s="39"/>
      <c r="E115" s="90"/>
      <c r="F115" s="41">
        <f>F113+F114</f>
        <v>2493850</v>
      </c>
    </row>
    <row r="121">
      <c r="A121" s="52" t="s">
        <v>108</v>
      </c>
    </row>
    <row r="122">
      <c r="A122" s="53"/>
      <c r="B122" s="53"/>
      <c r="C122" s="53"/>
      <c r="D122" s="53"/>
      <c r="E122" s="53"/>
      <c r="F122" s="53"/>
    </row>
    <row r="123">
      <c r="A123" s="9" t="s">
        <v>4</v>
      </c>
      <c r="B123" s="9" t="s">
        <v>5</v>
      </c>
      <c r="C123" s="9" t="s">
        <v>6</v>
      </c>
      <c r="D123" s="9" t="s">
        <v>7</v>
      </c>
      <c r="E123" s="9" t="s">
        <v>8</v>
      </c>
      <c r="F123" s="9" t="s">
        <v>9</v>
      </c>
    </row>
    <row r="124">
      <c r="A124" s="13">
        <v>1.0</v>
      </c>
      <c r="B124" s="54" t="s">
        <v>109</v>
      </c>
      <c r="C124" s="55">
        <v>46082.0</v>
      </c>
      <c r="D124" s="22">
        <v>86.4</v>
      </c>
      <c r="E124" s="56"/>
      <c r="F124" s="28"/>
    </row>
    <row r="125">
      <c r="A125" s="30" t="s">
        <v>106</v>
      </c>
      <c r="B125" s="31"/>
      <c r="C125" s="32"/>
      <c r="D125" s="24">
        <f>round(D124*10%,2)</f>
        <v>8.64</v>
      </c>
      <c r="E125" s="57"/>
      <c r="F125" s="28"/>
    </row>
    <row r="126">
      <c r="A126" s="30" t="s">
        <v>24</v>
      </c>
      <c r="B126" s="31"/>
      <c r="C126" s="32"/>
      <c r="D126" s="24">
        <f>round(D124*10%,2)</f>
        <v>8.64</v>
      </c>
      <c r="E126" s="57"/>
      <c r="F126" s="28"/>
    </row>
    <row r="127">
      <c r="A127" s="33" t="s">
        <v>9</v>
      </c>
      <c r="B127" s="31"/>
      <c r="C127" s="32"/>
      <c r="D127" s="39">
        <f>D124+D125-D126</f>
        <v>86.4</v>
      </c>
      <c r="E127" s="90">
        <v>26357.0</v>
      </c>
      <c r="F127" s="41">
        <f>round(D127*E127,0)</f>
        <v>2277245</v>
      </c>
    </row>
    <row r="128">
      <c r="A128" s="33" t="s">
        <v>26</v>
      </c>
      <c r="B128" s="31"/>
      <c r="C128" s="32"/>
      <c r="D128" s="39"/>
      <c r="E128" s="90"/>
      <c r="F128" s="41">
        <f>round(F127*10%,0)</f>
        <v>227725</v>
      </c>
    </row>
    <row r="129">
      <c r="A129" s="33" t="s">
        <v>16</v>
      </c>
      <c r="B129" s="31"/>
      <c r="C129" s="32"/>
      <c r="D129" s="39"/>
      <c r="E129" s="90"/>
      <c r="F129" s="41">
        <f>F127+F128</f>
        <v>2504970</v>
      </c>
    </row>
    <row r="134">
      <c r="A134" s="52" t="s">
        <v>108</v>
      </c>
    </row>
    <row r="135">
      <c r="A135" s="53"/>
      <c r="B135" s="53"/>
      <c r="C135" s="53"/>
      <c r="D135" s="53"/>
      <c r="E135" s="53"/>
      <c r="F135" s="53"/>
    </row>
    <row r="136">
      <c r="A136" s="9" t="s">
        <v>4</v>
      </c>
      <c r="B136" s="9" t="s">
        <v>5</v>
      </c>
      <c r="C136" s="9" t="s">
        <v>6</v>
      </c>
      <c r="D136" s="9" t="s">
        <v>7</v>
      </c>
      <c r="E136" s="9" t="s">
        <v>8</v>
      </c>
      <c r="F136" s="9" t="s">
        <v>9</v>
      </c>
    </row>
    <row r="137">
      <c r="A137" s="13">
        <v>1.0</v>
      </c>
      <c r="B137" s="54" t="s">
        <v>109</v>
      </c>
      <c r="C137" s="55">
        <v>46113.0</v>
      </c>
      <c r="D137" s="22">
        <v>86.46</v>
      </c>
      <c r="E137" s="56"/>
      <c r="F137" s="28"/>
    </row>
    <row r="138">
      <c r="A138" s="30" t="s">
        <v>106</v>
      </c>
      <c r="B138" s="31"/>
      <c r="C138" s="32"/>
      <c r="D138" s="24">
        <f>round(D137*10%,2)</f>
        <v>8.65</v>
      </c>
      <c r="E138" s="57"/>
      <c r="F138" s="28"/>
    </row>
    <row r="139">
      <c r="A139" s="30" t="s">
        <v>24</v>
      </c>
      <c r="B139" s="31"/>
      <c r="C139" s="32"/>
      <c r="D139" s="24">
        <f>round(D137*10%,2)</f>
        <v>8.65</v>
      </c>
      <c r="E139" s="57"/>
      <c r="F139" s="28"/>
    </row>
    <row r="140">
      <c r="A140" s="33" t="s">
        <v>9</v>
      </c>
      <c r="B140" s="31"/>
      <c r="C140" s="32"/>
      <c r="D140" s="39">
        <f>D137+D138-D139</f>
        <v>86.46</v>
      </c>
      <c r="E140" s="90">
        <v>26368.0</v>
      </c>
      <c r="F140" s="41">
        <f>round(D140*E140,0)</f>
        <v>2279777</v>
      </c>
    </row>
    <row r="141">
      <c r="A141" s="33" t="s">
        <v>26</v>
      </c>
      <c r="B141" s="31"/>
      <c r="C141" s="32"/>
      <c r="D141" s="39"/>
      <c r="E141" s="90"/>
      <c r="F141" s="41">
        <f>round(F140*10%,0)</f>
        <v>227978</v>
      </c>
    </row>
    <row r="142">
      <c r="A142" s="33" t="s">
        <v>16</v>
      </c>
      <c r="B142" s="31"/>
      <c r="C142" s="32"/>
      <c r="D142" s="39"/>
      <c r="E142" s="90"/>
      <c r="F142" s="41">
        <f>F140+F141</f>
        <v>2507755</v>
      </c>
    </row>
    <row r="148">
      <c r="A148" s="52" t="s">
        <v>108</v>
      </c>
    </row>
    <row r="149">
      <c r="A149" s="53"/>
      <c r="B149" s="53"/>
      <c r="C149" s="53"/>
      <c r="D149" s="53"/>
      <c r="E149" s="53"/>
      <c r="F149" s="53"/>
    </row>
    <row r="150">
      <c r="A150" s="9" t="s">
        <v>4</v>
      </c>
      <c r="B150" s="9" t="s">
        <v>5</v>
      </c>
      <c r="C150" s="9" t="s">
        <v>6</v>
      </c>
      <c r="D150" s="9" t="s">
        <v>7</v>
      </c>
      <c r="E150" s="9" t="s">
        <v>8</v>
      </c>
      <c r="F150" s="9" t="s">
        <v>9</v>
      </c>
    </row>
    <row r="151">
      <c r="A151" s="13">
        <v>1.0</v>
      </c>
      <c r="B151" s="54" t="s">
        <v>109</v>
      </c>
      <c r="C151" s="55">
        <v>46143.0</v>
      </c>
      <c r="D151" s="22">
        <v>86.46</v>
      </c>
      <c r="E151" s="56"/>
      <c r="F151" s="28"/>
    </row>
    <row r="152">
      <c r="A152" s="30" t="s">
        <v>106</v>
      </c>
      <c r="B152" s="31"/>
      <c r="C152" s="32"/>
      <c r="D152" s="24">
        <f>round(D151*10%,2)</f>
        <v>8.65</v>
      </c>
      <c r="E152" s="57"/>
      <c r="F152" s="28"/>
    </row>
    <row r="153">
      <c r="A153" s="30" t="s">
        <v>24</v>
      </c>
      <c r="B153" s="31"/>
      <c r="C153" s="32"/>
      <c r="D153" s="24">
        <f>round(D151*10%,2)</f>
        <v>8.65</v>
      </c>
      <c r="E153" s="57"/>
      <c r="F153" s="28"/>
    </row>
    <row r="154">
      <c r="A154" s="33" t="s">
        <v>9</v>
      </c>
      <c r="B154" s="31"/>
      <c r="C154" s="32"/>
      <c r="D154" s="39">
        <f>D151+D152-D153</f>
        <v>86.46</v>
      </c>
      <c r="E154" s="90">
        <v>26395.0</v>
      </c>
      <c r="F154" s="41">
        <f>round(D154*E154,0)</f>
        <v>2282112</v>
      </c>
    </row>
    <row r="155">
      <c r="A155" s="33" t="s">
        <v>26</v>
      </c>
      <c r="B155" s="31"/>
      <c r="C155" s="32"/>
      <c r="D155" s="39"/>
      <c r="E155" s="90"/>
      <c r="F155" s="41">
        <f>round(F154*10%,0)</f>
        <v>228211</v>
      </c>
    </row>
    <row r="156">
      <c r="A156" s="33" t="s">
        <v>16</v>
      </c>
      <c r="B156" s="31"/>
      <c r="C156" s="32"/>
      <c r="D156" s="39"/>
      <c r="E156" s="90"/>
      <c r="F156" s="41">
        <f>F154+F155</f>
        <v>2510323</v>
      </c>
    </row>
    <row r="161">
      <c r="A161" s="52" t="s">
        <v>108</v>
      </c>
    </row>
    <row r="162">
      <c r="A162" s="53"/>
      <c r="B162" s="53"/>
      <c r="C162" s="53"/>
      <c r="D162" s="53"/>
      <c r="E162" s="53"/>
      <c r="F162" s="53"/>
    </row>
    <row r="163">
      <c r="A163" s="9" t="s">
        <v>4</v>
      </c>
      <c r="B163" s="9" t="s">
        <v>5</v>
      </c>
      <c r="C163" s="9" t="s">
        <v>6</v>
      </c>
      <c r="D163" s="9" t="s">
        <v>7</v>
      </c>
      <c r="E163" s="9" t="s">
        <v>8</v>
      </c>
      <c r="F163" s="9" t="s">
        <v>9</v>
      </c>
    </row>
    <row r="164">
      <c r="A164" s="13">
        <v>1.0</v>
      </c>
      <c r="B164" s="54" t="s">
        <v>109</v>
      </c>
      <c r="C164" s="55">
        <v>46174.0</v>
      </c>
      <c r="D164" s="22">
        <v>86.81</v>
      </c>
      <c r="E164" s="56"/>
      <c r="F164" s="28"/>
    </row>
    <row r="165">
      <c r="A165" s="30" t="s">
        <v>106</v>
      </c>
      <c r="B165" s="31"/>
      <c r="C165" s="32"/>
      <c r="D165" s="24">
        <f>round(D164*10%,2)</f>
        <v>8.68</v>
      </c>
      <c r="E165" s="57"/>
      <c r="F165" s="28"/>
    </row>
    <row r="166">
      <c r="A166" s="30" t="s">
        <v>24</v>
      </c>
      <c r="B166" s="31"/>
      <c r="C166" s="32"/>
      <c r="D166" s="24">
        <f>round(D164*10%,2)</f>
        <v>8.68</v>
      </c>
      <c r="E166" s="57"/>
      <c r="F166" s="28"/>
    </row>
    <row r="167">
      <c r="A167" s="33" t="s">
        <v>9</v>
      </c>
      <c r="B167" s="31"/>
      <c r="C167" s="32"/>
      <c r="D167" s="39">
        <f>D164+D165-D166</f>
        <v>86.81</v>
      </c>
      <c r="E167" s="90">
        <v>26466.0</v>
      </c>
      <c r="F167" s="41">
        <f>round(D167*E167,0)</f>
        <v>2297513</v>
      </c>
    </row>
    <row r="168">
      <c r="A168" s="33" t="s">
        <v>26</v>
      </c>
      <c r="B168" s="31"/>
      <c r="C168" s="32"/>
      <c r="D168" s="39"/>
      <c r="E168" s="90"/>
      <c r="F168" s="41">
        <f>round(F167*10%,0)</f>
        <v>229751</v>
      </c>
    </row>
    <row r="169">
      <c r="A169" s="33" t="s">
        <v>16</v>
      </c>
      <c r="B169" s="31"/>
      <c r="C169" s="32"/>
      <c r="D169" s="39"/>
      <c r="E169" s="90"/>
      <c r="F169" s="41">
        <f>F167+F168</f>
        <v>2527264</v>
      </c>
    </row>
    <row r="174">
      <c r="A174" s="52" t="s">
        <v>108</v>
      </c>
    </row>
    <row r="175">
      <c r="A175" s="53"/>
      <c r="B175" s="53"/>
      <c r="C175" s="53"/>
      <c r="D175" s="53"/>
      <c r="E175" s="53"/>
      <c r="F175" s="53"/>
    </row>
    <row r="176">
      <c r="A176" s="9" t="s">
        <v>4</v>
      </c>
      <c r="B176" s="9" t="s">
        <v>5</v>
      </c>
      <c r="C176" s="9" t="s">
        <v>6</v>
      </c>
      <c r="D176" s="9" t="s">
        <v>7</v>
      </c>
      <c r="E176" s="9" t="s">
        <v>8</v>
      </c>
      <c r="F176" s="9" t="s">
        <v>9</v>
      </c>
    </row>
    <row r="177">
      <c r="A177" s="13">
        <v>1.0</v>
      </c>
      <c r="B177" s="54" t="s">
        <v>109</v>
      </c>
      <c r="C177" s="55">
        <v>46204.0</v>
      </c>
      <c r="D177" s="22">
        <v>86.74</v>
      </c>
      <c r="E177" s="56"/>
      <c r="F177" s="28"/>
    </row>
    <row r="178">
      <c r="A178" s="30" t="s">
        <v>106</v>
      </c>
      <c r="B178" s="31"/>
      <c r="C178" s="32"/>
      <c r="D178" s="24">
        <f>round(D177*10%,2)</f>
        <v>8.67</v>
      </c>
      <c r="E178" s="57"/>
      <c r="F178" s="28"/>
    </row>
    <row r="179">
      <c r="A179" s="30" t="s">
        <v>24</v>
      </c>
      <c r="B179" s="31"/>
      <c r="C179" s="32"/>
      <c r="D179" s="24">
        <f>round(D177*10%,2)</f>
        <v>8.67</v>
      </c>
      <c r="E179" s="57"/>
      <c r="F179" s="28"/>
    </row>
    <row r="180">
      <c r="A180" s="33" t="s">
        <v>9</v>
      </c>
      <c r="B180" s="31"/>
      <c r="C180" s="32"/>
      <c r="D180" s="39">
        <f>D177+D178-D179</f>
        <v>86.74</v>
      </c>
      <c r="E180" s="90">
        <v>26475.0</v>
      </c>
      <c r="F180" s="41">
        <f>round(D180*E180,0)</f>
        <v>2296442</v>
      </c>
    </row>
    <row r="181">
      <c r="A181" s="33" t="s">
        <v>26</v>
      </c>
      <c r="B181" s="31"/>
      <c r="C181" s="32"/>
      <c r="D181" s="39"/>
      <c r="E181" s="90"/>
      <c r="F181" s="41">
        <f>round(F180*10%,0)</f>
        <v>229644</v>
      </c>
    </row>
    <row r="182">
      <c r="A182" s="33" t="s">
        <v>16</v>
      </c>
      <c r="B182" s="31"/>
      <c r="C182" s="32"/>
      <c r="D182" s="39"/>
      <c r="E182" s="90"/>
      <c r="F182" s="41">
        <f>F180+F181</f>
        <v>2526086</v>
      </c>
    </row>
  </sheetData>
  <mergeCells count="84">
    <mergeCell ref="A111:C111"/>
    <mergeCell ref="A112:C112"/>
    <mergeCell ref="A113:C113"/>
    <mergeCell ref="A114:C114"/>
    <mergeCell ref="A115:C115"/>
    <mergeCell ref="A121:F121"/>
    <mergeCell ref="A125:C125"/>
    <mergeCell ref="A126:C126"/>
    <mergeCell ref="A127:C127"/>
    <mergeCell ref="A128:C128"/>
    <mergeCell ref="A129:C129"/>
    <mergeCell ref="A134:F134"/>
    <mergeCell ref="A138:C138"/>
    <mergeCell ref="A139:C139"/>
    <mergeCell ref="A140:C140"/>
    <mergeCell ref="A141:C141"/>
    <mergeCell ref="A142:C142"/>
    <mergeCell ref="A148:F148"/>
    <mergeCell ref="A152:C152"/>
    <mergeCell ref="A153:C153"/>
    <mergeCell ref="A154:C154"/>
    <mergeCell ref="A169:C169"/>
    <mergeCell ref="A174:F174"/>
    <mergeCell ref="A178:C178"/>
    <mergeCell ref="A179:C179"/>
    <mergeCell ref="A180:C180"/>
    <mergeCell ref="A181:C181"/>
    <mergeCell ref="A182:C182"/>
    <mergeCell ref="A155:C155"/>
    <mergeCell ref="A156:C156"/>
    <mergeCell ref="A161:F161"/>
    <mergeCell ref="A165:C165"/>
    <mergeCell ref="A166:C166"/>
    <mergeCell ref="A167:C167"/>
    <mergeCell ref="A168:C168"/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6:F26"/>
    <mergeCell ref="A30:C30"/>
    <mergeCell ref="A31:C31"/>
    <mergeCell ref="A32:C32"/>
    <mergeCell ref="A33:C33"/>
    <mergeCell ref="A34:C34"/>
    <mergeCell ref="A39:F39"/>
    <mergeCell ref="A43:C43"/>
    <mergeCell ref="A44:C44"/>
    <mergeCell ref="A45:C45"/>
    <mergeCell ref="A46:C46"/>
    <mergeCell ref="A47:C47"/>
    <mergeCell ref="A53:F53"/>
    <mergeCell ref="A57:C57"/>
    <mergeCell ref="A58:C58"/>
    <mergeCell ref="A59:C59"/>
    <mergeCell ref="A60:C60"/>
    <mergeCell ref="A61:C61"/>
    <mergeCell ref="A66:F66"/>
    <mergeCell ref="A70:C70"/>
    <mergeCell ref="A71:C71"/>
    <mergeCell ref="A72:C72"/>
    <mergeCell ref="A73:C73"/>
    <mergeCell ref="A74:C74"/>
    <mergeCell ref="A80:F80"/>
    <mergeCell ref="A84:C84"/>
    <mergeCell ref="A85:C85"/>
    <mergeCell ref="A86:C86"/>
    <mergeCell ref="A87:C87"/>
    <mergeCell ref="A88:C88"/>
    <mergeCell ref="A94:F94"/>
    <mergeCell ref="A98:C98"/>
    <mergeCell ref="A99:C99"/>
    <mergeCell ref="A100:C100"/>
    <mergeCell ref="A101:C101"/>
    <mergeCell ref="A102:C102"/>
    <mergeCell ref="A107:F107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88"/>
    <col customWidth="1" min="2" max="2" width="50.5"/>
    <col customWidth="1" min="3" max="3" width="14.25"/>
    <col customWidth="1" min="4" max="4" width="19.63"/>
    <col customWidth="1" min="5" max="5" width="15.25"/>
    <col customWidth="1" min="6" max="6" width="17.88"/>
  </cols>
  <sheetData>
    <row r="1">
      <c r="A1" s="52" t="s">
        <v>110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109</v>
      </c>
      <c r="C4" s="55">
        <v>45839.0</v>
      </c>
      <c r="D4" s="22">
        <v>24.88</v>
      </c>
      <c r="E4" s="56"/>
      <c r="F4" s="28"/>
    </row>
    <row r="5">
      <c r="A5" s="30" t="s">
        <v>106</v>
      </c>
      <c r="B5" s="31"/>
      <c r="C5" s="32"/>
      <c r="D5" s="24">
        <f>round(D4*10%,2)</f>
        <v>2.49</v>
      </c>
      <c r="E5" s="57"/>
      <c r="F5" s="28"/>
    </row>
    <row r="6">
      <c r="A6" s="30" t="s">
        <v>24</v>
      </c>
      <c r="B6" s="31"/>
      <c r="C6" s="32"/>
      <c r="D6" s="24">
        <f>round(D4*10%,2)</f>
        <v>2.49</v>
      </c>
      <c r="E6" s="57"/>
      <c r="F6" s="28"/>
    </row>
    <row r="7">
      <c r="A7" s="33" t="s">
        <v>9</v>
      </c>
      <c r="B7" s="31"/>
      <c r="C7" s="32"/>
      <c r="D7" s="39">
        <f>D4+D5-D6</f>
        <v>24.88</v>
      </c>
      <c r="E7" s="90">
        <v>26382.0</v>
      </c>
      <c r="F7" s="41">
        <f>round(D7*E7,0)</f>
        <v>656384</v>
      </c>
    </row>
    <row r="8">
      <c r="A8" s="33" t="s">
        <v>26</v>
      </c>
      <c r="B8" s="31"/>
      <c r="C8" s="32"/>
      <c r="D8" s="39"/>
      <c r="E8" s="90"/>
      <c r="F8" s="41">
        <f>round(F7*10%,0)</f>
        <v>65638</v>
      </c>
    </row>
    <row r="9">
      <c r="A9" s="33" t="s">
        <v>16</v>
      </c>
      <c r="B9" s="31"/>
      <c r="C9" s="32"/>
      <c r="D9" s="39"/>
      <c r="E9" s="90"/>
      <c r="F9" s="41">
        <f>F7+F8</f>
        <v>722022</v>
      </c>
    </row>
    <row r="12">
      <c r="A12" s="52"/>
      <c r="B12" s="52"/>
      <c r="C12" s="52"/>
      <c r="D12" s="52"/>
      <c r="E12" s="52"/>
      <c r="F12" s="52"/>
    </row>
    <row r="13">
      <c r="A13" s="52"/>
      <c r="B13" s="52"/>
      <c r="C13" s="52"/>
      <c r="D13" s="52"/>
      <c r="E13" s="52"/>
      <c r="F13" s="52"/>
    </row>
    <row r="14">
      <c r="A14" s="52"/>
      <c r="B14" s="52"/>
      <c r="C14" s="52"/>
      <c r="D14" s="52"/>
      <c r="E14" s="52"/>
      <c r="F14" s="52"/>
    </row>
    <row r="15">
      <c r="A15" s="52" t="s">
        <v>110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109</v>
      </c>
      <c r="C18" s="55">
        <v>45901.0</v>
      </c>
      <c r="D18" s="22">
        <v>122.5</v>
      </c>
      <c r="E18" s="56"/>
      <c r="F18" s="28"/>
    </row>
    <row r="19">
      <c r="A19" s="30" t="s">
        <v>106</v>
      </c>
      <c r="B19" s="31"/>
      <c r="C19" s="32"/>
      <c r="D19" s="24">
        <f>round(D18*10%,2)</f>
        <v>12.25</v>
      </c>
      <c r="E19" s="57"/>
      <c r="F19" s="28"/>
    </row>
    <row r="20">
      <c r="A20" s="30" t="s">
        <v>24</v>
      </c>
      <c r="B20" s="31"/>
      <c r="C20" s="32"/>
      <c r="D20" s="24">
        <f>round(D18*10%,2)</f>
        <v>12.25</v>
      </c>
      <c r="E20" s="57"/>
      <c r="F20" s="28"/>
    </row>
    <row r="21">
      <c r="A21" s="33" t="s">
        <v>9</v>
      </c>
      <c r="B21" s="31"/>
      <c r="C21" s="32"/>
      <c r="D21" s="39">
        <f>D18+D19-D20</f>
        <v>122.5</v>
      </c>
      <c r="E21" s="90">
        <v>26446.0</v>
      </c>
      <c r="F21" s="41">
        <f>round(D21*E21,0)</f>
        <v>3239635</v>
      </c>
    </row>
    <row r="22">
      <c r="A22" s="33" t="s">
        <v>26</v>
      </c>
      <c r="B22" s="31"/>
      <c r="C22" s="32"/>
      <c r="D22" s="39"/>
      <c r="E22" s="90"/>
      <c r="F22" s="41">
        <f>round(F21*10%,0)</f>
        <v>323964</v>
      </c>
    </row>
    <row r="23">
      <c r="A23" s="33" t="s">
        <v>16</v>
      </c>
      <c r="B23" s="31"/>
      <c r="C23" s="32"/>
      <c r="D23" s="39"/>
      <c r="E23" s="90"/>
      <c r="F23" s="41">
        <f>F21+F22</f>
        <v>3563599</v>
      </c>
    </row>
    <row r="29">
      <c r="A29" s="52" t="s">
        <v>110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109</v>
      </c>
      <c r="C32" s="55">
        <v>45931.0</v>
      </c>
      <c r="D32" s="22">
        <v>136.0</v>
      </c>
      <c r="E32" s="56"/>
      <c r="F32" s="28"/>
    </row>
    <row r="33">
      <c r="A33" s="30" t="s">
        <v>106</v>
      </c>
      <c r="B33" s="31"/>
      <c r="C33" s="32"/>
      <c r="D33" s="24">
        <f>round(D32*10%,2)</f>
        <v>13.6</v>
      </c>
      <c r="E33" s="57"/>
      <c r="F33" s="28"/>
    </row>
    <row r="34">
      <c r="A34" s="30" t="s">
        <v>24</v>
      </c>
      <c r="B34" s="31"/>
      <c r="C34" s="32"/>
      <c r="D34" s="24">
        <f>round(D32*10%,2)</f>
        <v>13.6</v>
      </c>
      <c r="E34" s="57"/>
      <c r="F34" s="28"/>
    </row>
    <row r="35">
      <c r="A35" s="33" t="s">
        <v>9</v>
      </c>
      <c r="B35" s="31"/>
      <c r="C35" s="32"/>
      <c r="D35" s="39">
        <f>D32+D33-D34</f>
        <v>136</v>
      </c>
      <c r="E35" s="90">
        <v>26347.0</v>
      </c>
      <c r="F35" s="41">
        <f>round(D35*E35,0)</f>
        <v>3583192</v>
      </c>
    </row>
    <row r="36">
      <c r="A36" s="33" t="s">
        <v>26</v>
      </c>
      <c r="B36" s="31"/>
      <c r="C36" s="32"/>
      <c r="D36" s="39"/>
      <c r="E36" s="90"/>
      <c r="F36" s="41">
        <f>round(F35*10%,0)</f>
        <v>358319</v>
      </c>
    </row>
    <row r="37">
      <c r="A37" s="33" t="s">
        <v>16</v>
      </c>
      <c r="B37" s="31"/>
      <c r="C37" s="32"/>
      <c r="D37" s="39"/>
      <c r="E37" s="90"/>
      <c r="F37" s="41">
        <f>F35+F36</f>
        <v>3941511</v>
      </c>
    </row>
    <row r="43">
      <c r="A43" s="52" t="s">
        <v>110</v>
      </c>
    </row>
    <row r="44">
      <c r="A44" s="53"/>
      <c r="B44" s="53"/>
      <c r="C44" s="53"/>
      <c r="D44" s="53"/>
      <c r="E44" s="53"/>
      <c r="F44" s="53"/>
    </row>
    <row r="45">
      <c r="A45" s="9" t="s">
        <v>4</v>
      </c>
      <c r="B45" s="9" t="s">
        <v>5</v>
      </c>
      <c r="C45" s="9" t="s">
        <v>6</v>
      </c>
      <c r="D45" s="9" t="s">
        <v>7</v>
      </c>
      <c r="E45" s="9" t="s">
        <v>8</v>
      </c>
      <c r="F45" s="9" t="s">
        <v>9</v>
      </c>
    </row>
    <row r="46">
      <c r="A46" s="13">
        <v>1.0</v>
      </c>
      <c r="B46" s="54" t="s">
        <v>109</v>
      </c>
      <c r="C46" s="55">
        <v>45962.0</v>
      </c>
      <c r="D46" s="22">
        <v>136.0</v>
      </c>
      <c r="E46" s="56"/>
      <c r="F46" s="28"/>
    </row>
    <row r="47">
      <c r="A47" s="30" t="s">
        <v>106</v>
      </c>
      <c r="B47" s="31"/>
      <c r="C47" s="32"/>
      <c r="D47" s="24">
        <f>round(D46*10%,2)</f>
        <v>13.6</v>
      </c>
      <c r="E47" s="57"/>
      <c r="F47" s="28"/>
    </row>
    <row r="48">
      <c r="A48" s="30" t="s">
        <v>24</v>
      </c>
      <c r="B48" s="31"/>
      <c r="C48" s="32"/>
      <c r="D48" s="24">
        <f>round(D46*10%,2)</f>
        <v>13.6</v>
      </c>
      <c r="E48" s="57"/>
      <c r="F48" s="28"/>
    </row>
    <row r="49">
      <c r="A49" s="33" t="s">
        <v>9</v>
      </c>
      <c r="B49" s="31"/>
      <c r="C49" s="32"/>
      <c r="D49" s="39">
        <f>D46+D47-D48</f>
        <v>136</v>
      </c>
      <c r="E49" s="90">
        <v>26412.0</v>
      </c>
      <c r="F49" s="41">
        <f>round(D49*E49,0)</f>
        <v>3592032</v>
      </c>
    </row>
    <row r="50">
      <c r="A50" s="33" t="s">
        <v>26</v>
      </c>
      <c r="B50" s="31"/>
      <c r="C50" s="32"/>
      <c r="D50" s="39"/>
      <c r="E50" s="90"/>
      <c r="F50" s="41">
        <f>round(F49*10%,0)</f>
        <v>359203</v>
      </c>
    </row>
    <row r="51">
      <c r="A51" s="33" t="s">
        <v>16</v>
      </c>
      <c r="B51" s="31"/>
      <c r="C51" s="32"/>
      <c r="D51" s="39"/>
      <c r="E51" s="90"/>
      <c r="F51" s="41">
        <f>F49+F50</f>
        <v>3951235</v>
      </c>
    </row>
    <row r="57">
      <c r="A57" s="52" t="s">
        <v>110</v>
      </c>
    </row>
    <row r="58">
      <c r="A58" s="53"/>
      <c r="B58" s="53"/>
      <c r="C58" s="53"/>
      <c r="D58" s="53"/>
      <c r="E58" s="53"/>
      <c r="F58" s="53"/>
    </row>
    <row r="59">
      <c r="A59" s="9" t="s">
        <v>4</v>
      </c>
      <c r="B59" s="9" t="s">
        <v>5</v>
      </c>
      <c r="C59" s="9" t="s">
        <v>6</v>
      </c>
      <c r="D59" s="9" t="s">
        <v>7</v>
      </c>
      <c r="E59" s="9" t="s">
        <v>8</v>
      </c>
      <c r="F59" s="9" t="s">
        <v>9</v>
      </c>
    </row>
    <row r="60">
      <c r="A60" s="13">
        <v>1.0</v>
      </c>
      <c r="B60" s="54" t="s">
        <v>109</v>
      </c>
      <c r="C60" s="55">
        <v>45992.0</v>
      </c>
      <c r="D60" s="22">
        <v>132.81</v>
      </c>
      <c r="E60" s="56"/>
      <c r="F60" s="28"/>
    </row>
    <row r="61">
      <c r="A61" s="30" t="s">
        <v>106</v>
      </c>
      <c r="B61" s="31"/>
      <c r="C61" s="32"/>
      <c r="D61" s="24">
        <f>round(D60*10%,2)</f>
        <v>13.28</v>
      </c>
      <c r="E61" s="57"/>
      <c r="F61" s="28"/>
    </row>
    <row r="62">
      <c r="A62" s="30" t="s">
        <v>24</v>
      </c>
      <c r="B62" s="31"/>
      <c r="C62" s="32"/>
      <c r="D62" s="24">
        <f>round(D60*10%,2)</f>
        <v>13.28</v>
      </c>
      <c r="E62" s="57"/>
      <c r="F62" s="28"/>
    </row>
    <row r="63">
      <c r="A63" s="33" t="s">
        <v>9</v>
      </c>
      <c r="B63" s="31"/>
      <c r="C63" s="32"/>
      <c r="D63" s="39">
        <f>D60+D61-D62</f>
        <v>132.81</v>
      </c>
      <c r="E63" s="90">
        <v>26377.0</v>
      </c>
      <c r="F63" s="41">
        <f>round(D63*E63,0)</f>
        <v>3503129</v>
      </c>
    </row>
    <row r="64">
      <c r="A64" s="33" t="s">
        <v>26</v>
      </c>
      <c r="B64" s="31"/>
      <c r="C64" s="32"/>
      <c r="D64" s="39"/>
      <c r="E64" s="90"/>
      <c r="F64" s="41">
        <f>round(F63*10%,0)</f>
        <v>350313</v>
      </c>
    </row>
    <row r="65">
      <c r="A65" s="33" t="s">
        <v>16</v>
      </c>
      <c r="B65" s="31"/>
      <c r="C65" s="32"/>
      <c r="D65" s="39"/>
      <c r="E65" s="90"/>
      <c r="F65" s="41">
        <f>F63+F64</f>
        <v>3853442</v>
      </c>
    </row>
    <row r="71">
      <c r="A71" s="52" t="s">
        <v>110</v>
      </c>
    </row>
    <row r="72">
      <c r="A72" s="53"/>
      <c r="B72" s="53"/>
      <c r="C72" s="53"/>
      <c r="D72" s="53"/>
      <c r="E72" s="53"/>
      <c r="F72" s="53"/>
    </row>
    <row r="73">
      <c r="A73" s="9" t="s">
        <v>4</v>
      </c>
      <c r="B73" s="9" t="s">
        <v>5</v>
      </c>
      <c r="C73" s="9" t="s">
        <v>6</v>
      </c>
      <c r="D73" s="9" t="s">
        <v>7</v>
      </c>
      <c r="E73" s="9" t="s">
        <v>8</v>
      </c>
      <c r="F73" s="9" t="s">
        <v>9</v>
      </c>
    </row>
    <row r="74">
      <c r="A74" s="13">
        <v>1.0</v>
      </c>
      <c r="B74" s="54" t="s">
        <v>109</v>
      </c>
      <c r="C74" s="55">
        <v>46023.0</v>
      </c>
      <c r="D74" s="22">
        <v>128.0</v>
      </c>
      <c r="E74" s="56"/>
      <c r="F74" s="28"/>
    </row>
    <row r="75">
      <c r="A75" s="30" t="s">
        <v>106</v>
      </c>
      <c r="B75" s="31"/>
      <c r="C75" s="32"/>
      <c r="D75" s="24">
        <f>round(D74*10%,2)</f>
        <v>12.8</v>
      </c>
      <c r="E75" s="57"/>
      <c r="F75" s="28"/>
    </row>
    <row r="76">
      <c r="A76" s="30" t="s">
        <v>24</v>
      </c>
      <c r="B76" s="31"/>
      <c r="C76" s="32"/>
      <c r="D76" s="24">
        <f>round(D74*10%,2)</f>
        <v>12.8</v>
      </c>
      <c r="E76" s="57"/>
      <c r="F76" s="28"/>
    </row>
    <row r="77">
      <c r="A77" s="33" t="s">
        <v>9</v>
      </c>
      <c r="B77" s="31"/>
      <c r="C77" s="32"/>
      <c r="D77" s="39">
        <f>D74+D75-D76</f>
        <v>128</v>
      </c>
      <c r="E77" s="90">
        <v>26145.0</v>
      </c>
      <c r="F77" s="41">
        <f>round(D77*E77,0)</f>
        <v>3346560</v>
      </c>
    </row>
    <row r="78">
      <c r="A78" s="33" t="s">
        <v>26</v>
      </c>
      <c r="B78" s="31"/>
      <c r="C78" s="32"/>
      <c r="D78" s="39"/>
      <c r="E78" s="90"/>
      <c r="F78" s="41">
        <f>round(F77*10%,0)</f>
        <v>334656</v>
      </c>
    </row>
    <row r="79">
      <c r="A79" s="33" t="s">
        <v>16</v>
      </c>
      <c r="B79" s="31"/>
      <c r="C79" s="32"/>
      <c r="D79" s="39"/>
      <c r="E79" s="90"/>
      <c r="F79" s="41">
        <f>F77+F78</f>
        <v>3681216</v>
      </c>
    </row>
    <row r="85">
      <c r="A85" s="52" t="s">
        <v>110</v>
      </c>
    </row>
    <row r="86">
      <c r="A86" s="53"/>
      <c r="B86" s="53"/>
      <c r="C86" s="53"/>
      <c r="D86" s="53"/>
      <c r="E86" s="53"/>
      <c r="F86" s="53"/>
    </row>
    <row r="87">
      <c r="A87" s="9" t="s">
        <v>4</v>
      </c>
      <c r="B87" s="9" t="s">
        <v>5</v>
      </c>
      <c r="C87" s="9" t="s">
        <v>6</v>
      </c>
      <c r="D87" s="9" t="s">
        <v>7</v>
      </c>
      <c r="E87" s="9" t="s">
        <v>8</v>
      </c>
      <c r="F87" s="9" t="s">
        <v>9</v>
      </c>
    </row>
    <row r="88">
      <c r="A88" s="13">
        <v>1.0</v>
      </c>
      <c r="B88" s="54" t="s">
        <v>109</v>
      </c>
      <c r="C88" s="55">
        <v>46054.0</v>
      </c>
      <c r="D88" s="22">
        <v>128.0</v>
      </c>
      <c r="E88" s="56"/>
      <c r="F88" s="28"/>
    </row>
    <row r="89">
      <c r="A89" s="30" t="s">
        <v>106</v>
      </c>
      <c r="B89" s="31"/>
      <c r="C89" s="32"/>
      <c r="D89" s="24">
        <f>round(D88*10%,2)</f>
        <v>12.8</v>
      </c>
      <c r="E89" s="57"/>
      <c r="F89" s="28"/>
    </row>
    <row r="90">
      <c r="A90" s="30" t="s">
        <v>24</v>
      </c>
      <c r="B90" s="31"/>
      <c r="C90" s="32"/>
      <c r="D90" s="24">
        <f>round(D88*10%,2)</f>
        <v>12.8</v>
      </c>
      <c r="E90" s="57"/>
      <c r="F90" s="28"/>
    </row>
    <row r="91">
      <c r="A91" s="33" t="s">
        <v>9</v>
      </c>
      <c r="B91" s="31"/>
      <c r="C91" s="32"/>
      <c r="D91" s="39">
        <f>D88+D89-D90</f>
        <v>128</v>
      </c>
      <c r="E91" s="90">
        <v>26240.0</v>
      </c>
      <c r="F91" s="41">
        <f>round(D91*E91,0)</f>
        <v>3358720</v>
      </c>
    </row>
    <row r="92">
      <c r="A92" s="33" t="s">
        <v>26</v>
      </c>
      <c r="B92" s="31"/>
      <c r="C92" s="32"/>
      <c r="D92" s="39"/>
      <c r="E92" s="90"/>
      <c r="F92" s="41">
        <f>round(F91*10%,0)</f>
        <v>335872</v>
      </c>
    </row>
    <row r="93">
      <c r="A93" s="33" t="s">
        <v>16</v>
      </c>
      <c r="B93" s="31"/>
      <c r="C93" s="32"/>
      <c r="D93" s="39"/>
      <c r="E93" s="90"/>
      <c r="F93" s="41">
        <f>F91+F92</f>
        <v>3694592</v>
      </c>
    </row>
    <row r="99">
      <c r="A99" s="52" t="s">
        <v>110</v>
      </c>
    </row>
    <row r="100">
      <c r="A100" s="53"/>
      <c r="B100" s="53"/>
      <c r="C100" s="53"/>
      <c r="D100" s="53"/>
      <c r="E100" s="53"/>
      <c r="F100" s="53"/>
    </row>
    <row r="101">
      <c r="A101" s="9" t="s">
        <v>4</v>
      </c>
      <c r="B101" s="9" t="s">
        <v>5</v>
      </c>
      <c r="C101" s="9" t="s">
        <v>6</v>
      </c>
      <c r="D101" s="9" t="s">
        <v>7</v>
      </c>
      <c r="E101" s="9" t="s">
        <v>8</v>
      </c>
      <c r="F101" s="9" t="s">
        <v>9</v>
      </c>
    </row>
    <row r="102">
      <c r="A102" s="13">
        <v>1.0</v>
      </c>
      <c r="B102" s="54" t="s">
        <v>109</v>
      </c>
      <c r="C102" s="55">
        <v>46082.0</v>
      </c>
      <c r="D102" s="22">
        <v>128.0</v>
      </c>
      <c r="E102" s="56"/>
      <c r="F102" s="28"/>
    </row>
    <row r="103">
      <c r="A103" s="30" t="s">
        <v>106</v>
      </c>
      <c r="B103" s="31"/>
      <c r="C103" s="32"/>
      <c r="D103" s="24">
        <f>round(D102*10%,2)</f>
        <v>12.8</v>
      </c>
      <c r="E103" s="57"/>
      <c r="F103" s="28"/>
    </row>
    <row r="104">
      <c r="A104" s="30" t="s">
        <v>24</v>
      </c>
      <c r="B104" s="31"/>
      <c r="C104" s="32"/>
      <c r="D104" s="24">
        <f>round(D102*10%,2)</f>
        <v>12.8</v>
      </c>
      <c r="E104" s="57"/>
      <c r="F104" s="28"/>
    </row>
    <row r="105">
      <c r="A105" s="33" t="s">
        <v>9</v>
      </c>
      <c r="B105" s="31"/>
      <c r="C105" s="32"/>
      <c r="D105" s="39">
        <f>D102+D103-D104</f>
        <v>128</v>
      </c>
      <c r="E105" s="90">
        <v>26357.0</v>
      </c>
      <c r="F105" s="41">
        <f>round(D105*E105,0)</f>
        <v>3373696</v>
      </c>
    </row>
    <row r="106">
      <c r="A106" s="33" t="s">
        <v>26</v>
      </c>
      <c r="B106" s="31"/>
      <c r="C106" s="32"/>
      <c r="D106" s="39"/>
      <c r="E106" s="90"/>
      <c r="F106" s="41">
        <f>round(F105*10%,0)</f>
        <v>337370</v>
      </c>
    </row>
    <row r="107">
      <c r="A107" s="33" t="s">
        <v>16</v>
      </c>
      <c r="B107" s="31"/>
      <c r="C107" s="32"/>
      <c r="D107" s="39"/>
      <c r="E107" s="90"/>
      <c r="F107" s="41">
        <f>F105+F106</f>
        <v>3711066</v>
      </c>
    </row>
    <row r="112">
      <c r="A112" s="52" t="s">
        <v>110</v>
      </c>
    </row>
    <row r="113">
      <c r="A113" s="53"/>
      <c r="B113" s="53"/>
      <c r="C113" s="53"/>
      <c r="D113" s="53"/>
      <c r="E113" s="53"/>
      <c r="F113" s="53"/>
    </row>
    <row r="114">
      <c r="A114" s="9" t="s">
        <v>4</v>
      </c>
      <c r="B114" s="9" t="s">
        <v>5</v>
      </c>
      <c r="C114" s="9" t="s">
        <v>6</v>
      </c>
      <c r="D114" s="9" t="s">
        <v>7</v>
      </c>
      <c r="E114" s="9" t="s">
        <v>8</v>
      </c>
      <c r="F114" s="9" t="s">
        <v>9</v>
      </c>
    </row>
    <row r="115">
      <c r="A115" s="13">
        <v>1.0</v>
      </c>
      <c r="B115" s="54" t="s">
        <v>109</v>
      </c>
      <c r="C115" s="55">
        <v>46113.0</v>
      </c>
      <c r="D115" s="22">
        <v>128.0</v>
      </c>
      <c r="E115" s="56"/>
      <c r="F115" s="28"/>
    </row>
    <row r="116">
      <c r="A116" s="30" t="s">
        <v>106</v>
      </c>
      <c r="B116" s="31"/>
      <c r="C116" s="32"/>
      <c r="D116" s="24">
        <f>round(D115*10%,2)</f>
        <v>12.8</v>
      </c>
      <c r="E116" s="57"/>
      <c r="F116" s="28"/>
    </row>
    <row r="117">
      <c r="A117" s="30" t="s">
        <v>24</v>
      </c>
      <c r="B117" s="31"/>
      <c r="C117" s="32"/>
      <c r="D117" s="24">
        <f>round(D115*10%,2)</f>
        <v>12.8</v>
      </c>
      <c r="E117" s="57"/>
      <c r="F117" s="28"/>
    </row>
    <row r="118">
      <c r="A118" s="33" t="s">
        <v>9</v>
      </c>
      <c r="B118" s="31"/>
      <c r="C118" s="32"/>
      <c r="D118" s="39">
        <f>D115+D116-D117</f>
        <v>128</v>
      </c>
      <c r="E118" s="90">
        <v>26368.0</v>
      </c>
      <c r="F118" s="41">
        <f>round(D118*E118,0)</f>
        <v>3375104</v>
      </c>
    </row>
    <row r="119">
      <c r="A119" s="33" t="s">
        <v>26</v>
      </c>
      <c r="B119" s="31"/>
      <c r="C119" s="32"/>
      <c r="D119" s="39"/>
      <c r="E119" s="90"/>
      <c r="F119" s="41">
        <f>round(F118*10%,0)</f>
        <v>337510</v>
      </c>
    </row>
    <row r="120">
      <c r="A120" s="33" t="s">
        <v>16</v>
      </c>
      <c r="B120" s="31"/>
      <c r="C120" s="32"/>
      <c r="D120" s="39"/>
      <c r="E120" s="90"/>
      <c r="F120" s="41">
        <f>F118+F119</f>
        <v>3712614</v>
      </c>
    </row>
    <row r="126">
      <c r="A126" s="52" t="s">
        <v>110</v>
      </c>
    </row>
    <row r="127">
      <c r="A127" s="53"/>
      <c r="B127" s="53"/>
      <c r="C127" s="53"/>
      <c r="D127" s="53"/>
      <c r="E127" s="53"/>
      <c r="F127" s="53"/>
    </row>
    <row r="128">
      <c r="A128" s="9" t="s">
        <v>4</v>
      </c>
      <c r="B128" s="9" t="s">
        <v>5</v>
      </c>
      <c r="C128" s="9" t="s">
        <v>6</v>
      </c>
      <c r="D128" s="9" t="s">
        <v>7</v>
      </c>
      <c r="E128" s="9" t="s">
        <v>8</v>
      </c>
      <c r="F128" s="9" t="s">
        <v>9</v>
      </c>
    </row>
    <row r="129">
      <c r="A129" s="13">
        <v>1.0</v>
      </c>
      <c r="B129" s="54" t="s">
        <v>109</v>
      </c>
      <c r="C129" s="55">
        <v>46143.0</v>
      </c>
      <c r="D129" s="22">
        <v>128.0</v>
      </c>
      <c r="E129" s="56"/>
      <c r="F129" s="28"/>
    </row>
    <row r="130">
      <c r="A130" s="30" t="s">
        <v>106</v>
      </c>
      <c r="B130" s="31"/>
      <c r="C130" s="32"/>
      <c r="D130" s="24">
        <f>round(D129*10%,2)</f>
        <v>12.8</v>
      </c>
      <c r="E130" s="57"/>
      <c r="F130" s="28"/>
    </row>
    <row r="131">
      <c r="A131" s="30" t="s">
        <v>24</v>
      </c>
      <c r="B131" s="31"/>
      <c r="C131" s="32"/>
      <c r="D131" s="24">
        <f>round(D129*10%,2)</f>
        <v>12.8</v>
      </c>
      <c r="E131" s="57"/>
      <c r="F131" s="28"/>
    </row>
    <row r="132">
      <c r="A132" s="33" t="s">
        <v>9</v>
      </c>
      <c r="B132" s="31"/>
      <c r="C132" s="32"/>
      <c r="D132" s="39">
        <f>D129+D130-D131</f>
        <v>128</v>
      </c>
      <c r="E132" s="90">
        <v>26395.0</v>
      </c>
      <c r="F132" s="41">
        <f>round(D132*E132,0)</f>
        <v>3378560</v>
      </c>
    </row>
    <row r="133">
      <c r="A133" s="33" t="s">
        <v>26</v>
      </c>
      <c r="B133" s="31"/>
      <c r="C133" s="32"/>
      <c r="D133" s="39"/>
      <c r="E133" s="90"/>
      <c r="F133" s="41">
        <f>round(F132*10%,0)</f>
        <v>337856</v>
      </c>
    </row>
    <row r="134">
      <c r="A134" s="33" t="s">
        <v>16</v>
      </c>
      <c r="B134" s="31"/>
      <c r="C134" s="32"/>
      <c r="D134" s="39"/>
      <c r="E134" s="90"/>
      <c r="F134" s="41">
        <f>F132+F133</f>
        <v>3716416</v>
      </c>
    </row>
    <row r="139">
      <c r="A139" s="52" t="s">
        <v>110</v>
      </c>
    </row>
    <row r="140">
      <c r="A140" s="53"/>
      <c r="B140" s="53"/>
      <c r="C140" s="53"/>
      <c r="D140" s="53"/>
      <c r="E140" s="53"/>
      <c r="F140" s="53"/>
    </row>
    <row r="141">
      <c r="A141" s="9" t="s">
        <v>4</v>
      </c>
      <c r="B141" s="9" t="s">
        <v>5</v>
      </c>
      <c r="C141" s="9" t="s">
        <v>6</v>
      </c>
      <c r="D141" s="9" t="s">
        <v>7</v>
      </c>
      <c r="E141" s="9" t="s">
        <v>8</v>
      </c>
      <c r="F141" s="9" t="s">
        <v>9</v>
      </c>
    </row>
    <row r="142">
      <c r="A142" s="13">
        <v>1.0</v>
      </c>
      <c r="B142" s="54" t="s">
        <v>109</v>
      </c>
      <c r="C142" s="55">
        <v>46174.0</v>
      </c>
      <c r="D142" s="22">
        <v>128.0</v>
      </c>
      <c r="E142" s="56"/>
      <c r="F142" s="28"/>
    </row>
    <row r="143">
      <c r="A143" s="30" t="s">
        <v>106</v>
      </c>
      <c r="B143" s="31"/>
      <c r="C143" s="32"/>
      <c r="D143" s="24">
        <f>round(D142*10%,2)</f>
        <v>12.8</v>
      </c>
      <c r="E143" s="57"/>
      <c r="F143" s="28"/>
    </row>
    <row r="144">
      <c r="A144" s="30" t="s">
        <v>24</v>
      </c>
      <c r="B144" s="31"/>
      <c r="C144" s="32"/>
      <c r="D144" s="24">
        <f>round(D142*10%,2)</f>
        <v>12.8</v>
      </c>
      <c r="E144" s="57"/>
      <c r="F144" s="28"/>
    </row>
    <row r="145">
      <c r="A145" s="33" t="s">
        <v>9</v>
      </c>
      <c r="B145" s="31"/>
      <c r="C145" s="32"/>
      <c r="D145" s="39">
        <f>D142+D143-D144</f>
        <v>128</v>
      </c>
      <c r="E145" s="90">
        <v>26466.0</v>
      </c>
      <c r="F145" s="41">
        <f>round(D145*E145,0)</f>
        <v>3387648</v>
      </c>
    </row>
    <row r="146">
      <c r="A146" s="33" t="s">
        <v>26</v>
      </c>
      <c r="B146" s="31"/>
      <c r="C146" s="32"/>
      <c r="D146" s="39"/>
      <c r="E146" s="90"/>
      <c r="F146" s="41">
        <f>round(F145*10%,0)</f>
        <v>338765</v>
      </c>
    </row>
    <row r="147">
      <c r="A147" s="33" t="s">
        <v>16</v>
      </c>
      <c r="B147" s="31"/>
      <c r="C147" s="32"/>
      <c r="D147" s="39"/>
      <c r="E147" s="90"/>
      <c r="F147" s="41">
        <f>F145+F146</f>
        <v>3726413</v>
      </c>
    </row>
    <row r="153">
      <c r="A153" s="52" t="s">
        <v>110</v>
      </c>
    </row>
    <row r="154">
      <c r="A154" s="53"/>
      <c r="B154" s="53"/>
      <c r="C154" s="53"/>
      <c r="D154" s="53"/>
      <c r="E154" s="53"/>
      <c r="F154" s="53"/>
    </row>
    <row r="155">
      <c r="A155" s="9" t="s">
        <v>4</v>
      </c>
      <c r="B155" s="9" t="s">
        <v>5</v>
      </c>
      <c r="C155" s="9" t="s">
        <v>6</v>
      </c>
      <c r="D155" s="9" t="s">
        <v>7</v>
      </c>
      <c r="E155" s="9" t="s">
        <v>8</v>
      </c>
      <c r="F155" s="9" t="s">
        <v>9</v>
      </c>
    </row>
    <row r="156">
      <c r="A156" s="13">
        <v>1.0</v>
      </c>
      <c r="B156" s="54" t="s">
        <v>109</v>
      </c>
      <c r="C156" s="55">
        <v>46204.0</v>
      </c>
      <c r="D156" s="22">
        <v>128.0</v>
      </c>
      <c r="E156" s="56"/>
      <c r="F156" s="28"/>
    </row>
    <row r="157">
      <c r="A157" s="30" t="s">
        <v>106</v>
      </c>
      <c r="B157" s="31"/>
      <c r="C157" s="32"/>
      <c r="D157" s="24">
        <f>round(D156*10%,2)</f>
        <v>12.8</v>
      </c>
      <c r="E157" s="57"/>
      <c r="F157" s="28"/>
    </row>
    <row r="158">
      <c r="A158" s="30" t="s">
        <v>24</v>
      </c>
      <c r="B158" s="31"/>
      <c r="C158" s="32"/>
      <c r="D158" s="24">
        <f>round(D156*10%,2)</f>
        <v>12.8</v>
      </c>
      <c r="E158" s="57"/>
      <c r="F158" s="28"/>
    </row>
    <row r="159">
      <c r="A159" s="33" t="s">
        <v>9</v>
      </c>
      <c r="B159" s="31"/>
      <c r="C159" s="32"/>
      <c r="D159" s="39">
        <f>D156+D157-D158</f>
        <v>128</v>
      </c>
      <c r="E159" s="90">
        <v>26475.0</v>
      </c>
      <c r="F159" s="41">
        <f>round(D159*E159,0)</f>
        <v>3388800</v>
      </c>
    </row>
    <row r="160">
      <c r="A160" s="33" t="s">
        <v>26</v>
      </c>
      <c r="B160" s="31"/>
      <c r="C160" s="32"/>
      <c r="D160" s="39"/>
      <c r="E160" s="90"/>
      <c r="F160" s="41">
        <f>round(F159*10%,0)</f>
        <v>338880</v>
      </c>
    </row>
    <row r="161">
      <c r="A161" s="33" t="s">
        <v>16</v>
      </c>
      <c r="B161" s="31"/>
      <c r="C161" s="32"/>
      <c r="D161" s="39"/>
      <c r="E161" s="90"/>
      <c r="F161" s="41">
        <f>F159+F160</f>
        <v>3727680</v>
      </c>
    </row>
  </sheetData>
  <mergeCells count="72">
    <mergeCell ref="A116:C116"/>
    <mergeCell ref="A117:C117"/>
    <mergeCell ref="A118:C118"/>
    <mergeCell ref="A119:C119"/>
    <mergeCell ref="A120:C120"/>
    <mergeCell ref="A126:F126"/>
    <mergeCell ref="A130:C130"/>
    <mergeCell ref="A131:C131"/>
    <mergeCell ref="A132:C132"/>
    <mergeCell ref="A133:C133"/>
    <mergeCell ref="A134:C134"/>
    <mergeCell ref="A139:F139"/>
    <mergeCell ref="A143:C143"/>
    <mergeCell ref="A144:C144"/>
    <mergeCell ref="A160:C160"/>
    <mergeCell ref="A161:C161"/>
    <mergeCell ref="A145:C145"/>
    <mergeCell ref="A146:C146"/>
    <mergeCell ref="A147:C147"/>
    <mergeCell ref="A153:F153"/>
    <mergeCell ref="A157:C157"/>
    <mergeCell ref="A158:C158"/>
    <mergeCell ref="A159:C159"/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29:F29"/>
    <mergeCell ref="A33:C33"/>
    <mergeCell ref="A34:C34"/>
    <mergeCell ref="A35:C35"/>
    <mergeCell ref="A36:C36"/>
    <mergeCell ref="A37:C37"/>
    <mergeCell ref="A43:F43"/>
    <mergeCell ref="A47:C47"/>
    <mergeCell ref="A48:C48"/>
    <mergeCell ref="A49:C49"/>
    <mergeCell ref="A50:C50"/>
    <mergeCell ref="A51:C51"/>
    <mergeCell ref="A57:F57"/>
    <mergeCell ref="A61:C61"/>
    <mergeCell ref="A62:C62"/>
    <mergeCell ref="A63:C63"/>
    <mergeCell ref="A64:C64"/>
    <mergeCell ref="A65:C65"/>
    <mergeCell ref="A71:F71"/>
    <mergeCell ref="A75:C75"/>
    <mergeCell ref="A76:C76"/>
    <mergeCell ref="A77:C77"/>
    <mergeCell ref="A78:C78"/>
    <mergeCell ref="A79:C79"/>
    <mergeCell ref="A85:F85"/>
    <mergeCell ref="A89:C89"/>
    <mergeCell ref="A90:C90"/>
    <mergeCell ref="A91:C91"/>
    <mergeCell ref="A92:C92"/>
    <mergeCell ref="A93:C93"/>
    <mergeCell ref="A99:F99"/>
    <mergeCell ref="A103:C103"/>
    <mergeCell ref="A104:C104"/>
    <mergeCell ref="A105:C105"/>
    <mergeCell ref="A106:C106"/>
    <mergeCell ref="A107:C107"/>
    <mergeCell ref="A112:F11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50.88"/>
    <col customWidth="1" min="3" max="3" width="10.88"/>
    <col customWidth="1" min="4" max="4" width="20.5"/>
    <col customWidth="1" min="5" max="5" width="11.5"/>
    <col customWidth="1" min="6" max="6" width="17.13"/>
  </cols>
  <sheetData>
    <row r="1">
      <c r="A1" s="52" t="s">
        <v>111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112</v>
      </c>
      <c r="C4" s="55">
        <v>45870.0</v>
      </c>
      <c r="D4" s="22">
        <v>340.14</v>
      </c>
      <c r="E4" s="56"/>
      <c r="F4" s="28"/>
    </row>
    <row r="5">
      <c r="A5" s="30" t="s">
        <v>113</v>
      </c>
      <c r="B5" s="31"/>
      <c r="C5" s="32"/>
      <c r="D5" s="24">
        <f>round(D4*10%,2)</f>
        <v>34.01</v>
      </c>
      <c r="E5" s="57"/>
      <c r="F5" s="28"/>
    </row>
    <row r="6">
      <c r="A6" s="30" t="s">
        <v>106</v>
      </c>
      <c r="B6" s="31"/>
      <c r="C6" s="32"/>
      <c r="D6" s="24">
        <f>round(D4*10%,2)</f>
        <v>34.01</v>
      </c>
      <c r="E6" s="57"/>
      <c r="F6" s="28"/>
    </row>
    <row r="7">
      <c r="A7" s="33" t="s">
        <v>9</v>
      </c>
      <c r="B7" s="31"/>
      <c r="C7" s="32"/>
      <c r="D7" s="39">
        <f>D4+D5-D6</f>
        <v>340.14</v>
      </c>
      <c r="E7" s="90">
        <v>26502.0</v>
      </c>
      <c r="F7" s="41">
        <f>round(D7*E7,0)</f>
        <v>9014390</v>
      </c>
    </row>
    <row r="8">
      <c r="A8" s="33" t="s">
        <v>26</v>
      </c>
      <c r="B8" s="31"/>
      <c r="C8" s="32"/>
      <c r="D8" s="39"/>
      <c r="E8" s="90"/>
      <c r="F8" s="41">
        <f>round(F7*10%,0)</f>
        <v>901439</v>
      </c>
    </row>
    <row r="9">
      <c r="A9" s="33" t="s">
        <v>16</v>
      </c>
      <c r="B9" s="31"/>
      <c r="C9" s="32"/>
      <c r="D9" s="39"/>
      <c r="E9" s="90"/>
      <c r="F9" s="41">
        <f>F7+F8</f>
        <v>9915829</v>
      </c>
    </row>
    <row r="15">
      <c r="A15" s="52" t="s">
        <v>111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112</v>
      </c>
      <c r="C18" s="55">
        <v>45901.0</v>
      </c>
      <c r="D18" s="22">
        <v>340.45</v>
      </c>
      <c r="E18" s="56"/>
      <c r="F18" s="28"/>
    </row>
    <row r="19">
      <c r="A19" s="30" t="s">
        <v>113</v>
      </c>
      <c r="B19" s="31"/>
      <c r="C19" s="32"/>
      <c r="D19" s="24">
        <f>round(D18*10%,2)</f>
        <v>34.05</v>
      </c>
      <c r="E19" s="57"/>
      <c r="F19" s="28"/>
    </row>
    <row r="20">
      <c r="A20" s="30" t="s">
        <v>106</v>
      </c>
      <c r="B20" s="31"/>
      <c r="C20" s="32"/>
      <c r="D20" s="24">
        <f>round(D18*10%,2)</f>
        <v>34.05</v>
      </c>
      <c r="E20" s="57"/>
      <c r="F20" s="28"/>
    </row>
    <row r="21">
      <c r="A21" s="33" t="s">
        <v>9</v>
      </c>
      <c r="B21" s="31"/>
      <c r="C21" s="32"/>
      <c r="D21" s="39">
        <f>D18-D19+D20</f>
        <v>340.45</v>
      </c>
      <c r="E21" s="90">
        <v>26446.0</v>
      </c>
      <c r="F21" s="41">
        <f>round(D21*E21,0)</f>
        <v>9003541</v>
      </c>
    </row>
    <row r="22">
      <c r="A22" s="33" t="s">
        <v>26</v>
      </c>
      <c r="B22" s="31"/>
      <c r="C22" s="32"/>
      <c r="D22" s="39"/>
      <c r="E22" s="90"/>
      <c r="F22" s="41">
        <f>round(F21*10%,0)</f>
        <v>900354</v>
      </c>
    </row>
    <row r="23">
      <c r="A23" s="33" t="s">
        <v>16</v>
      </c>
      <c r="B23" s="31"/>
      <c r="C23" s="32"/>
      <c r="D23" s="39"/>
      <c r="E23" s="90"/>
      <c r="F23" s="41">
        <f>F21+F22</f>
        <v>9903895</v>
      </c>
    </row>
    <row r="29">
      <c r="A29" s="52" t="s">
        <v>111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112</v>
      </c>
      <c r="C32" s="55">
        <v>45931.0</v>
      </c>
      <c r="D32" s="22">
        <v>340.77</v>
      </c>
      <c r="E32" s="56"/>
      <c r="F32" s="28"/>
    </row>
    <row r="33">
      <c r="A33" s="30" t="s">
        <v>113</v>
      </c>
      <c r="B33" s="31"/>
      <c r="C33" s="32"/>
      <c r="D33" s="24">
        <f>round(D32*10%,2)</f>
        <v>34.08</v>
      </c>
      <c r="E33" s="57"/>
      <c r="F33" s="28"/>
    </row>
    <row r="34">
      <c r="A34" s="30" t="s">
        <v>106</v>
      </c>
      <c r="B34" s="31"/>
      <c r="C34" s="32"/>
      <c r="D34" s="24">
        <f>round(D32*10%,2)</f>
        <v>34.08</v>
      </c>
      <c r="E34" s="57"/>
      <c r="F34" s="28"/>
    </row>
    <row r="35">
      <c r="A35" s="33" t="s">
        <v>9</v>
      </c>
      <c r="B35" s="31"/>
      <c r="C35" s="32"/>
      <c r="D35" s="39">
        <f>D32-D33+D34</f>
        <v>340.77</v>
      </c>
      <c r="E35" s="90">
        <v>26347.0</v>
      </c>
      <c r="F35" s="41">
        <f>round(D35*E35,0)</f>
        <v>8978267</v>
      </c>
    </row>
    <row r="36">
      <c r="A36" s="33" t="s">
        <v>26</v>
      </c>
      <c r="B36" s="31"/>
      <c r="C36" s="32"/>
      <c r="D36" s="39"/>
      <c r="E36" s="90"/>
      <c r="F36" s="41">
        <f>round(F35*10%,0)</f>
        <v>897827</v>
      </c>
    </row>
    <row r="37">
      <c r="A37" s="33" t="s">
        <v>16</v>
      </c>
      <c r="B37" s="31"/>
      <c r="C37" s="32"/>
      <c r="D37" s="39"/>
      <c r="E37" s="90"/>
      <c r="F37" s="41">
        <f>F35+F36</f>
        <v>9876094</v>
      </c>
    </row>
    <row r="43">
      <c r="A43" s="52" t="s">
        <v>111</v>
      </c>
    </row>
    <row r="44">
      <c r="A44" s="53"/>
      <c r="B44" s="53"/>
      <c r="C44" s="53"/>
      <c r="D44" s="53"/>
      <c r="E44" s="53"/>
      <c r="F44" s="53"/>
    </row>
    <row r="45">
      <c r="A45" s="9" t="s">
        <v>4</v>
      </c>
      <c r="B45" s="9" t="s">
        <v>5</v>
      </c>
      <c r="C45" s="9" t="s">
        <v>6</v>
      </c>
      <c r="D45" s="9" t="s">
        <v>7</v>
      </c>
      <c r="E45" s="9" t="s">
        <v>8</v>
      </c>
      <c r="F45" s="9" t="s">
        <v>9</v>
      </c>
    </row>
    <row r="46">
      <c r="A46" s="13">
        <v>1.0</v>
      </c>
      <c r="B46" s="54" t="s">
        <v>112</v>
      </c>
      <c r="C46" s="55">
        <v>45962.0</v>
      </c>
      <c r="D46" s="22">
        <v>341.14</v>
      </c>
      <c r="E46" s="56"/>
      <c r="F46" s="28"/>
    </row>
    <row r="47">
      <c r="A47" s="30" t="s">
        <v>113</v>
      </c>
      <c r="B47" s="31"/>
      <c r="C47" s="32"/>
      <c r="D47" s="24">
        <f>round(D46*10%,2)</f>
        <v>34.11</v>
      </c>
      <c r="E47" s="57"/>
      <c r="F47" s="28"/>
    </row>
    <row r="48">
      <c r="A48" s="30" t="s">
        <v>106</v>
      </c>
      <c r="B48" s="31"/>
      <c r="C48" s="32"/>
      <c r="D48" s="24">
        <f>round(D46*10%,2)</f>
        <v>34.11</v>
      </c>
      <c r="E48" s="57"/>
      <c r="F48" s="28"/>
    </row>
    <row r="49">
      <c r="A49" s="33" t="s">
        <v>9</v>
      </c>
      <c r="B49" s="31"/>
      <c r="C49" s="32"/>
      <c r="D49" s="39">
        <f>D46-D47+D48</f>
        <v>341.14</v>
      </c>
      <c r="E49" s="90">
        <v>26412.0</v>
      </c>
      <c r="F49" s="41">
        <f>round(D49*E49,0)</f>
        <v>9010190</v>
      </c>
    </row>
    <row r="50">
      <c r="A50" s="33" t="s">
        <v>26</v>
      </c>
      <c r="B50" s="31"/>
      <c r="C50" s="32"/>
      <c r="D50" s="39"/>
      <c r="E50" s="90"/>
      <c r="F50" s="41">
        <f>round(F49*10%,0)</f>
        <v>901019</v>
      </c>
    </row>
    <row r="51">
      <c r="A51" s="33" t="s">
        <v>16</v>
      </c>
      <c r="B51" s="31"/>
      <c r="C51" s="32"/>
      <c r="D51" s="39"/>
      <c r="E51" s="90"/>
      <c r="F51" s="41">
        <f>F49+F50</f>
        <v>9911209</v>
      </c>
    </row>
    <row r="57">
      <c r="A57" s="91" t="s">
        <v>111</v>
      </c>
    </row>
    <row r="58">
      <c r="A58" s="92"/>
      <c r="B58" s="92"/>
      <c r="C58" s="92"/>
      <c r="D58" s="92"/>
      <c r="E58" s="92"/>
      <c r="F58" s="92"/>
    </row>
    <row r="59">
      <c r="A59" s="75" t="s">
        <v>4</v>
      </c>
      <c r="B59" s="75" t="s">
        <v>5</v>
      </c>
      <c r="C59" s="75" t="s">
        <v>6</v>
      </c>
      <c r="D59" s="75" t="s">
        <v>7</v>
      </c>
      <c r="E59" s="75" t="s">
        <v>8</v>
      </c>
      <c r="F59" s="75" t="s">
        <v>9</v>
      </c>
    </row>
    <row r="60">
      <c r="A60" s="76">
        <v>1.0</v>
      </c>
      <c r="B60" s="93" t="s">
        <v>112</v>
      </c>
      <c r="C60" s="94">
        <v>45992.0</v>
      </c>
      <c r="D60" s="78">
        <v>341.47</v>
      </c>
      <c r="E60" s="95"/>
      <c r="F60" s="80"/>
    </row>
    <row r="61">
      <c r="A61" s="84" t="s">
        <v>113</v>
      </c>
      <c r="B61" s="31"/>
      <c r="C61" s="32"/>
      <c r="D61" s="82">
        <f>round(D60*10%,2)</f>
        <v>34.15</v>
      </c>
      <c r="E61" s="96"/>
      <c r="F61" s="80"/>
    </row>
    <row r="62">
      <c r="A62" s="84" t="s">
        <v>106</v>
      </c>
      <c r="B62" s="31"/>
      <c r="C62" s="32"/>
      <c r="D62" s="82">
        <f>round(D60*10%,2)</f>
        <v>34.15</v>
      </c>
      <c r="E62" s="96"/>
      <c r="F62" s="80"/>
    </row>
    <row r="63">
      <c r="A63" s="85" t="s">
        <v>9</v>
      </c>
      <c r="B63" s="31"/>
      <c r="C63" s="32"/>
      <c r="D63" s="86">
        <f>D60-D61+D62</f>
        <v>341.47</v>
      </c>
      <c r="E63" s="97">
        <v>26377.0</v>
      </c>
      <c r="F63" s="87">
        <f>round(D63*E63,0)</f>
        <v>9006954</v>
      </c>
    </row>
    <row r="64">
      <c r="A64" s="85" t="s">
        <v>26</v>
      </c>
      <c r="B64" s="31"/>
      <c r="C64" s="32"/>
      <c r="D64" s="88"/>
      <c r="E64" s="95"/>
      <c r="F64" s="87">
        <f>round(F63*10%,0)</f>
        <v>900695</v>
      </c>
    </row>
    <row r="65">
      <c r="A65" s="85" t="s">
        <v>16</v>
      </c>
      <c r="B65" s="31"/>
      <c r="C65" s="32"/>
      <c r="D65" s="88"/>
      <c r="E65" s="95"/>
      <c r="F65" s="87">
        <f>F63+F64</f>
        <v>9907649</v>
      </c>
    </row>
    <row r="71">
      <c r="A71" s="91" t="s">
        <v>111</v>
      </c>
    </row>
    <row r="72">
      <c r="A72" s="92"/>
      <c r="B72" s="92"/>
      <c r="C72" s="92"/>
      <c r="D72" s="92"/>
      <c r="E72" s="92"/>
      <c r="F72" s="92"/>
    </row>
    <row r="73">
      <c r="A73" s="75" t="s">
        <v>4</v>
      </c>
      <c r="B73" s="75" t="s">
        <v>5</v>
      </c>
      <c r="C73" s="75" t="s">
        <v>6</v>
      </c>
      <c r="D73" s="75" t="s">
        <v>7</v>
      </c>
      <c r="E73" s="75" t="s">
        <v>8</v>
      </c>
      <c r="F73" s="75" t="s">
        <v>9</v>
      </c>
    </row>
    <row r="74">
      <c r="A74" s="76">
        <v>1.0</v>
      </c>
      <c r="B74" s="93" t="s">
        <v>112</v>
      </c>
      <c r="C74" s="94">
        <v>46023.0</v>
      </c>
      <c r="D74" s="78">
        <v>341.65</v>
      </c>
      <c r="E74" s="95"/>
      <c r="F74" s="80"/>
    </row>
    <row r="75">
      <c r="A75" s="84" t="s">
        <v>113</v>
      </c>
      <c r="B75" s="31"/>
      <c r="C75" s="32"/>
      <c r="D75" s="82">
        <f>round(D74*10%,2)</f>
        <v>34.17</v>
      </c>
      <c r="E75" s="96"/>
      <c r="F75" s="80"/>
    </row>
    <row r="76">
      <c r="A76" s="84" t="s">
        <v>106</v>
      </c>
      <c r="B76" s="31"/>
      <c r="C76" s="32"/>
      <c r="D76" s="82">
        <f>round(D74*10%,2)</f>
        <v>34.17</v>
      </c>
      <c r="E76" s="96"/>
      <c r="F76" s="80"/>
    </row>
    <row r="77">
      <c r="A77" s="85" t="s">
        <v>9</v>
      </c>
      <c r="B77" s="31"/>
      <c r="C77" s="32"/>
      <c r="D77" s="86">
        <f>D74-D75+D76</f>
        <v>341.65</v>
      </c>
      <c r="E77" s="97">
        <v>26145.0</v>
      </c>
      <c r="F77" s="87">
        <f>round(D77*E77,0)</f>
        <v>8932439</v>
      </c>
    </row>
    <row r="78">
      <c r="A78" s="85" t="s">
        <v>26</v>
      </c>
      <c r="B78" s="31"/>
      <c r="C78" s="32"/>
      <c r="D78" s="88"/>
      <c r="E78" s="95"/>
      <c r="F78" s="87">
        <f>round(F77*10%,0)</f>
        <v>893244</v>
      </c>
    </row>
    <row r="79">
      <c r="A79" s="85" t="s">
        <v>16</v>
      </c>
      <c r="B79" s="31"/>
      <c r="C79" s="32"/>
      <c r="D79" s="88"/>
      <c r="E79" s="95"/>
      <c r="F79" s="87">
        <f>F77+F78</f>
        <v>9825683</v>
      </c>
    </row>
    <row r="85">
      <c r="A85" s="91" t="s">
        <v>111</v>
      </c>
    </row>
    <row r="86">
      <c r="A86" s="92"/>
      <c r="B86" s="92"/>
      <c r="C86" s="92"/>
      <c r="D86" s="92"/>
      <c r="E86" s="92"/>
      <c r="F86" s="92"/>
    </row>
    <row r="87">
      <c r="A87" s="75" t="s">
        <v>4</v>
      </c>
      <c r="B87" s="75" t="s">
        <v>5</v>
      </c>
      <c r="C87" s="75" t="s">
        <v>6</v>
      </c>
      <c r="D87" s="75" t="s">
        <v>7</v>
      </c>
      <c r="E87" s="75" t="s">
        <v>8</v>
      </c>
      <c r="F87" s="75" t="s">
        <v>9</v>
      </c>
    </row>
    <row r="88">
      <c r="A88" s="76">
        <v>1.0</v>
      </c>
      <c r="B88" s="93" t="s">
        <v>112</v>
      </c>
      <c r="C88" s="94">
        <v>46054.0</v>
      </c>
      <c r="D88" s="78">
        <v>342.52</v>
      </c>
      <c r="E88" s="95"/>
      <c r="F88" s="80"/>
    </row>
    <row r="89">
      <c r="A89" s="84" t="s">
        <v>113</v>
      </c>
      <c r="B89" s="31"/>
      <c r="C89" s="32"/>
      <c r="D89" s="82">
        <f>round(D88*10%,2)</f>
        <v>34.25</v>
      </c>
      <c r="E89" s="96"/>
      <c r="F89" s="80"/>
    </row>
    <row r="90">
      <c r="A90" s="84" t="s">
        <v>106</v>
      </c>
      <c r="B90" s="31"/>
      <c r="C90" s="32"/>
      <c r="D90" s="82">
        <f>round(D88*10%,2)</f>
        <v>34.25</v>
      </c>
      <c r="E90" s="96"/>
      <c r="F90" s="80"/>
    </row>
    <row r="91">
      <c r="A91" s="85" t="s">
        <v>9</v>
      </c>
      <c r="B91" s="31"/>
      <c r="C91" s="32"/>
      <c r="D91" s="86">
        <f>D88-D89+D90</f>
        <v>342.52</v>
      </c>
      <c r="E91" s="97">
        <v>26240.0</v>
      </c>
      <c r="F91" s="87">
        <f>round(D91*E91,0)</f>
        <v>8987725</v>
      </c>
    </row>
    <row r="92">
      <c r="A92" s="85" t="s">
        <v>26</v>
      </c>
      <c r="B92" s="31"/>
      <c r="C92" s="32"/>
      <c r="D92" s="88"/>
      <c r="E92" s="95"/>
      <c r="F92" s="87">
        <f>round(F91*10%,0)</f>
        <v>898773</v>
      </c>
    </row>
    <row r="93">
      <c r="A93" s="85" t="s">
        <v>16</v>
      </c>
      <c r="B93" s="31"/>
      <c r="C93" s="32"/>
      <c r="D93" s="88"/>
      <c r="E93" s="95"/>
      <c r="F93" s="87">
        <f>F91+F92</f>
        <v>9886498</v>
      </c>
    </row>
    <row r="99">
      <c r="A99" s="91" t="s">
        <v>111</v>
      </c>
    </row>
    <row r="100">
      <c r="A100" s="92"/>
      <c r="B100" s="92"/>
      <c r="C100" s="92"/>
      <c r="D100" s="92"/>
      <c r="E100" s="92"/>
      <c r="F100" s="92"/>
    </row>
    <row r="101">
      <c r="A101" s="75" t="s">
        <v>4</v>
      </c>
      <c r="B101" s="75" t="s">
        <v>5</v>
      </c>
      <c r="C101" s="75" t="s">
        <v>6</v>
      </c>
      <c r="D101" s="75" t="s">
        <v>7</v>
      </c>
      <c r="E101" s="75" t="s">
        <v>8</v>
      </c>
      <c r="F101" s="75" t="s">
        <v>9</v>
      </c>
    </row>
    <row r="102">
      <c r="A102" s="76">
        <v>1.0</v>
      </c>
      <c r="B102" s="93" t="s">
        <v>112</v>
      </c>
      <c r="C102" s="94">
        <v>46082.0</v>
      </c>
      <c r="D102" s="78">
        <v>342.13</v>
      </c>
      <c r="E102" s="95"/>
      <c r="F102" s="80"/>
    </row>
    <row r="103">
      <c r="A103" s="84" t="s">
        <v>113</v>
      </c>
      <c r="B103" s="31"/>
      <c r="C103" s="32"/>
      <c r="D103" s="82">
        <f>round(D102*10%,2)</f>
        <v>34.21</v>
      </c>
      <c r="E103" s="96"/>
      <c r="F103" s="80"/>
    </row>
    <row r="104">
      <c r="A104" s="84" t="s">
        <v>106</v>
      </c>
      <c r="B104" s="31"/>
      <c r="C104" s="32"/>
      <c r="D104" s="82">
        <f>round(D102*10%,2)</f>
        <v>34.21</v>
      </c>
      <c r="E104" s="96"/>
      <c r="F104" s="80"/>
    </row>
    <row r="105">
      <c r="A105" s="85" t="s">
        <v>9</v>
      </c>
      <c r="B105" s="31"/>
      <c r="C105" s="32"/>
      <c r="D105" s="86">
        <f>D102-D103+D104</f>
        <v>342.13</v>
      </c>
      <c r="E105" s="97">
        <v>26357.0</v>
      </c>
      <c r="F105" s="87">
        <f>round(D105*E105,0)</f>
        <v>9017520</v>
      </c>
    </row>
    <row r="106">
      <c r="A106" s="85" t="s">
        <v>26</v>
      </c>
      <c r="B106" s="31"/>
      <c r="C106" s="32"/>
      <c r="D106" s="88"/>
      <c r="E106" s="95"/>
      <c r="F106" s="87">
        <f>round(F105*10%,0)</f>
        <v>901752</v>
      </c>
    </row>
    <row r="107">
      <c r="A107" s="85" t="s">
        <v>16</v>
      </c>
      <c r="B107" s="31"/>
      <c r="C107" s="32"/>
      <c r="D107" s="88"/>
      <c r="E107" s="95"/>
      <c r="F107" s="87">
        <f>F105+F106</f>
        <v>9919272</v>
      </c>
    </row>
    <row r="113">
      <c r="A113" s="91" t="s">
        <v>111</v>
      </c>
    </row>
    <row r="114">
      <c r="A114" s="92"/>
      <c r="B114" s="92"/>
      <c r="C114" s="92"/>
      <c r="D114" s="92"/>
      <c r="E114" s="92"/>
      <c r="F114" s="92"/>
    </row>
    <row r="115">
      <c r="A115" s="75" t="s">
        <v>4</v>
      </c>
      <c r="B115" s="75" t="s">
        <v>5</v>
      </c>
      <c r="C115" s="75" t="s">
        <v>6</v>
      </c>
      <c r="D115" s="75" t="s">
        <v>7</v>
      </c>
      <c r="E115" s="75" t="s">
        <v>8</v>
      </c>
      <c r="F115" s="75" t="s">
        <v>9</v>
      </c>
    </row>
    <row r="116">
      <c r="A116" s="76">
        <v>1.0</v>
      </c>
      <c r="B116" s="93" t="s">
        <v>112</v>
      </c>
      <c r="C116" s="94">
        <v>46113.0</v>
      </c>
      <c r="D116" s="78">
        <v>342.04</v>
      </c>
      <c r="E116" s="95"/>
      <c r="F116" s="80"/>
    </row>
    <row r="117">
      <c r="A117" s="84" t="s">
        <v>113</v>
      </c>
      <c r="B117" s="31"/>
      <c r="C117" s="32"/>
      <c r="D117" s="82">
        <f>round(D116*10%,2)</f>
        <v>34.2</v>
      </c>
      <c r="E117" s="96"/>
      <c r="F117" s="80"/>
    </row>
    <row r="118">
      <c r="A118" s="84" t="s">
        <v>106</v>
      </c>
      <c r="B118" s="31"/>
      <c r="C118" s="32"/>
      <c r="D118" s="82">
        <f>round(D116*10%,2)</f>
        <v>34.2</v>
      </c>
      <c r="E118" s="96"/>
      <c r="F118" s="80"/>
    </row>
    <row r="119">
      <c r="A119" s="85" t="s">
        <v>9</v>
      </c>
      <c r="B119" s="31"/>
      <c r="C119" s="32"/>
      <c r="D119" s="86">
        <f>D116-D117+D118</f>
        <v>342.04</v>
      </c>
      <c r="E119" s="97">
        <v>26368.0</v>
      </c>
      <c r="F119" s="87">
        <f>round(D119*E119,0)</f>
        <v>9018911</v>
      </c>
    </row>
    <row r="120">
      <c r="A120" s="85" t="s">
        <v>26</v>
      </c>
      <c r="B120" s="31"/>
      <c r="C120" s="32"/>
      <c r="D120" s="88"/>
      <c r="E120" s="95"/>
      <c r="F120" s="87">
        <f>round(F119*10%,0)</f>
        <v>901891</v>
      </c>
    </row>
    <row r="121">
      <c r="A121" s="85" t="s">
        <v>16</v>
      </c>
      <c r="B121" s="31"/>
      <c r="C121" s="32"/>
      <c r="D121" s="88"/>
      <c r="E121" s="95"/>
      <c r="F121" s="87">
        <f>F119+F120</f>
        <v>9920802</v>
      </c>
    </row>
    <row r="127">
      <c r="A127" s="91" t="s">
        <v>111</v>
      </c>
    </row>
    <row r="128">
      <c r="A128" s="92"/>
      <c r="B128" s="92"/>
      <c r="C128" s="92"/>
      <c r="D128" s="92"/>
      <c r="E128" s="92"/>
      <c r="F128" s="92"/>
    </row>
    <row r="129">
      <c r="A129" s="75" t="s">
        <v>4</v>
      </c>
      <c r="B129" s="75" t="s">
        <v>5</v>
      </c>
      <c r="C129" s="75" t="s">
        <v>6</v>
      </c>
      <c r="D129" s="75" t="s">
        <v>7</v>
      </c>
      <c r="E129" s="75" t="s">
        <v>8</v>
      </c>
      <c r="F129" s="75" t="s">
        <v>9</v>
      </c>
    </row>
    <row r="130">
      <c r="A130" s="76">
        <v>1.0</v>
      </c>
      <c r="B130" s="93" t="s">
        <v>112</v>
      </c>
      <c r="C130" s="94">
        <v>46143.0</v>
      </c>
      <c r="D130" s="78">
        <v>370.44</v>
      </c>
      <c r="E130" s="95"/>
      <c r="F130" s="80"/>
    </row>
    <row r="131">
      <c r="A131" s="84" t="s">
        <v>113</v>
      </c>
      <c r="B131" s="31"/>
      <c r="C131" s="32"/>
      <c r="D131" s="82">
        <f>round(D130*10%,2)</f>
        <v>37.04</v>
      </c>
      <c r="E131" s="96"/>
      <c r="F131" s="80"/>
    </row>
    <row r="132">
      <c r="A132" s="84" t="s">
        <v>106</v>
      </c>
      <c r="B132" s="31"/>
      <c r="C132" s="32"/>
      <c r="D132" s="82">
        <f>round(D130*10%,2)</f>
        <v>37.04</v>
      </c>
      <c r="E132" s="96"/>
      <c r="F132" s="80"/>
    </row>
    <row r="133">
      <c r="A133" s="85" t="s">
        <v>9</v>
      </c>
      <c r="B133" s="31"/>
      <c r="C133" s="32"/>
      <c r="D133" s="86">
        <f>D130-D131+D132</f>
        <v>370.44</v>
      </c>
      <c r="E133" s="97">
        <v>26395.0</v>
      </c>
      <c r="F133" s="87">
        <f>round(D133*E133,0)</f>
        <v>9777764</v>
      </c>
    </row>
    <row r="134">
      <c r="A134" s="85" t="s">
        <v>26</v>
      </c>
      <c r="B134" s="31"/>
      <c r="C134" s="32"/>
      <c r="D134" s="88"/>
      <c r="E134" s="95"/>
      <c r="F134" s="87">
        <f>round(F133*10%,0)</f>
        <v>977776</v>
      </c>
    </row>
    <row r="135">
      <c r="A135" s="85" t="s">
        <v>16</v>
      </c>
      <c r="B135" s="31"/>
      <c r="C135" s="32"/>
      <c r="D135" s="88"/>
      <c r="E135" s="95"/>
      <c r="F135" s="87">
        <f>F133+F134</f>
        <v>10755540</v>
      </c>
    </row>
    <row r="140">
      <c r="A140" s="91" t="s">
        <v>111</v>
      </c>
    </row>
    <row r="141">
      <c r="A141" s="92"/>
      <c r="B141" s="92"/>
      <c r="C141" s="92"/>
      <c r="D141" s="92"/>
      <c r="E141" s="92"/>
      <c r="F141" s="92"/>
    </row>
    <row r="142">
      <c r="A142" s="75" t="s">
        <v>4</v>
      </c>
      <c r="B142" s="75" t="s">
        <v>5</v>
      </c>
      <c r="C142" s="75" t="s">
        <v>6</v>
      </c>
      <c r="D142" s="75" t="s">
        <v>7</v>
      </c>
      <c r="E142" s="75" t="s">
        <v>8</v>
      </c>
      <c r="F142" s="75" t="s">
        <v>9</v>
      </c>
    </row>
    <row r="143">
      <c r="A143" s="76">
        <v>1.0</v>
      </c>
      <c r="B143" s="93" t="s">
        <v>112</v>
      </c>
      <c r="C143" s="94">
        <v>46174.0</v>
      </c>
      <c r="D143" s="78">
        <v>390.07</v>
      </c>
      <c r="E143" s="95"/>
      <c r="F143" s="80"/>
    </row>
    <row r="144">
      <c r="A144" s="84" t="s">
        <v>113</v>
      </c>
      <c r="B144" s="31"/>
      <c r="C144" s="32"/>
      <c r="D144" s="82">
        <f>round(D143*10%,2)</f>
        <v>39.01</v>
      </c>
      <c r="E144" s="96"/>
      <c r="F144" s="80"/>
    </row>
    <row r="145">
      <c r="A145" s="84" t="s">
        <v>106</v>
      </c>
      <c r="B145" s="31"/>
      <c r="C145" s="32"/>
      <c r="D145" s="82">
        <f>round(D143*10%,2)</f>
        <v>39.01</v>
      </c>
      <c r="E145" s="96"/>
      <c r="F145" s="80"/>
    </row>
    <row r="146">
      <c r="A146" s="85" t="s">
        <v>9</v>
      </c>
      <c r="B146" s="31"/>
      <c r="C146" s="32"/>
      <c r="D146" s="86">
        <f>D143-D144+D145</f>
        <v>390.07</v>
      </c>
      <c r="E146" s="97">
        <v>26466.0</v>
      </c>
      <c r="F146" s="87">
        <f>round(D146*E146,0)</f>
        <v>10323593</v>
      </c>
    </row>
    <row r="147">
      <c r="A147" s="85" t="s">
        <v>26</v>
      </c>
      <c r="B147" s="31"/>
      <c r="C147" s="32"/>
      <c r="D147" s="88"/>
      <c r="E147" s="95"/>
      <c r="F147" s="87">
        <f>round(F146*10%,0)</f>
        <v>1032359</v>
      </c>
    </row>
    <row r="148">
      <c r="A148" s="85" t="s">
        <v>16</v>
      </c>
      <c r="B148" s="31"/>
      <c r="C148" s="32"/>
      <c r="D148" s="88"/>
      <c r="E148" s="95"/>
      <c r="F148" s="87">
        <f>F146+F147</f>
        <v>11355952</v>
      </c>
    </row>
    <row r="154">
      <c r="A154" s="91" t="s">
        <v>111</v>
      </c>
    </row>
    <row r="155">
      <c r="A155" s="92"/>
      <c r="B155" s="92"/>
      <c r="C155" s="92"/>
      <c r="D155" s="92"/>
      <c r="E155" s="92"/>
      <c r="F155" s="92"/>
    </row>
    <row r="156">
      <c r="A156" s="75" t="s">
        <v>4</v>
      </c>
      <c r="B156" s="75" t="s">
        <v>5</v>
      </c>
      <c r="C156" s="75" t="s">
        <v>6</v>
      </c>
      <c r="D156" s="75" t="s">
        <v>7</v>
      </c>
      <c r="E156" s="75" t="s">
        <v>8</v>
      </c>
      <c r="F156" s="75" t="s">
        <v>9</v>
      </c>
    </row>
    <row r="157">
      <c r="A157" s="76">
        <v>1.0</v>
      </c>
      <c r="B157" s="93" t="s">
        <v>112</v>
      </c>
      <c r="C157" s="94">
        <v>46204.0</v>
      </c>
      <c r="D157" s="78">
        <v>390.16</v>
      </c>
      <c r="E157" s="95"/>
      <c r="F157" s="80"/>
    </row>
    <row r="158">
      <c r="A158" s="84" t="s">
        <v>113</v>
      </c>
      <c r="B158" s="31"/>
      <c r="C158" s="32"/>
      <c r="D158" s="82">
        <f>round(D157*10%,2)</f>
        <v>39.02</v>
      </c>
      <c r="E158" s="96"/>
      <c r="F158" s="80"/>
    </row>
    <row r="159">
      <c r="A159" s="84" t="s">
        <v>106</v>
      </c>
      <c r="B159" s="31"/>
      <c r="C159" s="32"/>
      <c r="D159" s="82">
        <f>round(D157*10%,2)</f>
        <v>39.02</v>
      </c>
      <c r="E159" s="96"/>
      <c r="F159" s="80"/>
    </row>
    <row r="160">
      <c r="A160" s="85" t="s">
        <v>9</v>
      </c>
      <c r="B160" s="31"/>
      <c r="C160" s="32"/>
      <c r="D160" s="86">
        <f>D157-D158+D159</f>
        <v>390.16</v>
      </c>
      <c r="E160" s="97">
        <v>26475.0</v>
      </c>
      <c r="F160" s="87">
        <f>round(D160*E160,0)</f>
        <v>10329486</v>
      </c>
    </row>
    <row r="161">
      <c r="A161" s="85" t="s">
        <v>26</v>
      </c>
      <c r="B161" s="31"/>
      <c r="C161" s="32"/>
      <c r="D161" s="88"/>
      <c r="E161" s="95"/>
      <c r="F161" s="87">
        <f>round(F160*10%,0)</f>
        <v>1032949</v>
      </c>
    </row>
    <row r="162">
      <c r="A162" s="85" t="s">
        <v>16</v>
      </c>
      <c r="B162" s="31"/>
      <c r="C162" s="32"/>
      <c r="D162" s="88"/>
      <c r="E162" s="95"/>
      <c r="F162" s="87">
        <f>F160+F161</f>
        <v>11362435</v>
      </c>
    </row>
  </sheetData>
  <mergeCells count="72">
    <mergeCell ref="A117:C117"/>
    <mergeCell ref="A118:C118"/>
    <mergeCell ref="A119:C119"/>
    <mergeCell ref="A120:C120"/>
    <mergeCell ref="A121:C121"/>
    <mergeCell ref="A127:F127"/>
    <mergeCell ref="A131:C131"/>
    <mergeCell ref="A132:C132"/>
    <mergeCell ref="A133:C133"/>
    <mergeCell ref="A134:C134"/>
    <mergeCell ref="A135:C135"/>
    <mergeCell ref="A140:F140"/>
    <mergeCell ref="A144:C144"/>
    <mergeCell ref="A145:C145"/>
    <mergeCell ref="A161:C161"/>
    <mergeCell ref="A162:C162"/>
    <mergeCell ref="A146:C146"/>
    <mergeCell ref="A147:C147"/>
    <mergeCell ref="A148:C148"/>
    <mergeCell ref="A154:F154"/>
    <mergeCell ref="A158:C158"/>
    <mergeCell ref="A159:C159"/>
    <mergeCell ref="A160:C160"/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29:F29"/>
    <mergeCell ref="A33:C33"/>
    <mergeCell ref="A34:C34"/>
    <mergeCell ref="A35:C35"/>
    <mergeCell ref="A36:C36"/>
    <mergeCell ref="A37:C37"/>
    <mergeCell ref="A43:F43"/>
    <mergeCell ref="A47:C47"/>
    <mergeCell ref="A48:C48"/>
    <mergeCell ref="A49:C49"/>
    <mergeCell ref="A50:C50"/>
    <mergeCell ref="A51:C51"/>
    <mergeCell ref="A57:F57"/>
    <mergeCell ref="A61:C61"/>
    <mergeCell ref="A62:C62"/>
    <mergeCell ref="A63:C63"/>
    <mergeCell ref="A64:C64"/>
    <mergeCell ref="A65:C65"/>
    <mergeCell ref="A71:F71"/>
    <mergeCell ref="A75:C75"/>
    <mergeCell ref="A76:C76"/>
    <mergeCell ref="A77:C77"/>
    <mergeCell ref="A78:C78"/>
    <mergeCell ref="A79:C79"/>
    <mergeCell ref="A85:F85"/>
    <mergeCell ref="A89:C89"/>
    <mergeCell ref="A90:C90"/>
    <mergeCell ref="A91:C91"/>
    <mergeCell ref="A92:C92"/>
    <mergeCell ref="A93:C93"/>
    <mergeCell ref="A99:F99"/>
    <mergeCell ref="A103:C103"/>
    <mergeCell ref="A104:C104"/>
    <mergeCell ref="A105:C105"/>
    <mergeCell ref="A106:C106"/>
    <mergeCell ref="A107:C107"/>
    <mergeCell ref="A113:F113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50.88"/>
    <col customWidth="1" min="3" max="3" width="10.88"/>
    <col customWidth="1" min="4" max="4" width="20.5"/>
    <col customWidth="1" min="5" max="5" width="11.5"/>
    <col customWidth="1" min="6" max="6" width="17.13"/>
  </cols>
  <sheetData>
    <row r="1">
      <c r="A1" s="52" t="s">
        <v>114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115</v>
      </c>
      <c r="C4" s="55">
        <v>45870.0</v>
      </c>
      <c r="D4" s="22">
        <v>177.6</v>
      </c>
      <c r="E4" s="56"/>
      <c r="F4" s="28"/>
    </row>
    <row r="5">
      <c r="A5" s="30" t="s">
        <v>113</v>
      </c>
      <c r="B5" s="31"/>
      <c r="C5" s="32"/>
      <c r="D5" s="24">
        <f>round(D4*10%,2)</f>
        <v>17.76</v>
      </c>
      <c r="E5" s="57"/>
      <c r="F5" s="28"/>
    </row>
    <row r="6">
      <c r="A6" s="30" t="s">
        <v>106</v>
      </c>
      <c r="B6" s="31"/>
      <c r="C6" s="32"/>
      <c r="D6" s="24">
        <f>round(D4*10%,2)</f>
        <v>17.76</v>
      </c>
      <c r="E6" s="57"/>
      <c r="F6" s="28"/>
    </row>
    <row r="7">
      <c r="A7" s="33" t="s">
        <v>9</v>
      </c>
      <c r="B7" s="31"/>
      <c r="C7" s="32"/>
      <c r="D7" s="39">
        <f>D4+D5-D6</f>
        <v>177.6</v>
      </c>
      <c r="E7" s="90">
        <v>26502.0</v>
      </c>
      <c r="F7" s="41">
        <f>round(D7*E7,0)</f>
        <v>4706755</v>
      </c>
    </row>
    <row r="8">
      <c r="A8" s="33" t="s">
        <v>26</v>
      </c>
      <c r="B8" s="31"/>
      <c r="C8" s="32"/>
      <c r="D8" s="39"/>
      <c r="E8" s="90"/>
      <c r="F8" s="41">
        <f>round(F7*10%,0)</f>
        <v>470676</v>
      </c>
    </row>
    <row r="9">
      <c r="A9" s="33" t="s">
        <v>16</v>
      </c>
      <c r="B9" s="31"/>
      <c r="C9" s="32"/>
      <c r="D9" s="39"/>
      <c r="E9" s="90"/>
      <c r="F9" s="41">
        <f>F7+F8</f>
        <v>5177431</v>
      </c>
    </row>
    <row r="15">
      <c r="A15" s="52" t="s">
        <v>114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115</v>
      </c>
      <c r="C18" s="55">
        <v>45901.0</v>
      </c>
      <c r="D18" s="22">
        <v>177.6</v>
      </c>
      <c r="E18" s="56"/>
      <c r="F18" s="28"/>
    </row>
    <row r="19">
      <c r="A19" s="30" t="s">
        <v>113</v>
      </c>
      <c r="B19" s="31"/>
      <c r="C19" s="32"/>
      <c r="D19" s="24">
        <f>round(D18*10%,2)</f>
        <v>17.76</v>
      </c>
      <c r="E19" s="57"/>
      <c r="F19" s="28"/>
    </row>
    <row r="20">
      <c r="A20" s="30" t="s">
        <v>106</v>
      </c>
      <c r="B20" s="31"/>
      <c r="C20" s="32"/>
      <c r="D20" s="24">
        <f>round(D18*10%,2)</f>
        <v>17.76</v>
      </c>
      <c r="E20" s="57"/>
      <c r="F20" s="28"/>
    </row>
    <row r="21">
      <c r="A21" s="33" t="s">
        <v>9</v>
      </c>
      <c r="B21" s="31"/>
      <c r="C21" s="32"/>
      <c r="D21" s="39">
        <f>D18-D19+D20</f>
        <v>177.6</v>
      </c>
      <c r="E21" s="90">
        <v>26446.0</v>
      </c>
      <c r="F21" s="41">
        <f>round(D21*E21,0)</f>
        <v>4696810</v>
      </c>
    </row>
    <row r="22">
      <c r="A22" s="33" t="s">
        <v>26</v>
      </c>
      <c r="B22" s="31"/>
      <c r="C22" s="32"/>
      <c r="D22" s="39"/>
      <c r="E22" s="90"/>
      <c r="F22" s="41">
        <f>round(F21*10%,0)</f>
        <v>469681</v>
      </c>
    </row>
    <row r="23">
      <c r="A23" s="33" t="s">
        <v>16</v>
      </c>
      <c r="B23" s="31"/>
      <c r="C23" s="32"/>
      <c r="D23" s="39"/>
      <c r="E23" s="90"/>
      <c r="F23" s="41">
        <f>F21+F22</f>
        <v>5166491</v>
      </c>
    </row>
    <row r="30">
      <c r="A30" s="52" t="s">
        <v>114</v>
      </c>
    </row>
    <row r="31">
      <c r="A31" s="53"/>
      <c r="B31" s="53"/>
      <c r="C31" s="53"/>
      <c r="D31" s="53"/>
      <c r="E31" s="53"/>
      <c r="F31" s="53"/>
    </row>
    <row r="32">
      <c r="A32" s="9" t="s">
        <v>4</v>
      </c>
      <c r="B32" s="9" t="s">
        <v>5</v>
      </c>
      <c r="C32" s="9" t="s">
        <v>6</v>
      </c>
      <c r="D32" s="9" t="s">
        <v>7</v>
      </c>
      <c r="E32" s="9" t="s">
        <v>8</v>
      </c>
      <c r="F32" s="9" t="s">
        <v>9</v>
      </c>
    </row>
    <row r="33">
      <c r="A33" s="13">
        <v>1.0</v>
      </c>
      <c r="B33" s="54" t="s">
        <v>115</v>
      </c>
      <c r="C33" s="55">
        <v>45931.0</v>
      </c>
      <c r="D33" s="22">
        <v>177.6</v>
      </c>
      <c r="E33" s="56"/>
      <c r="F33" s="28"/>
    </row>
    <row r="34">
      <c r="A34" s="30" t="s">
        <v>113</v>
      </c>
      <c r="B34" s="31"/>
      <c r="C34" s="32"/>
      <c r="D34" s="24">
        <f>round(D33*10%,2)</f>
        <v>17.76</v>
      </c>
      <c r="E34" s="57"/>
      <c r="F34" s="28"/>
    </row>
    <row r="35">
      <c r="A35" s="30" t="s">
        <v>106</v>
      </c>
      <c r="B35" s="31"/>
      <c r="C35" s="32"/>
      <c r="D35" s="24">
        <f>round(D33*10%,2)</f>
        <v>17.76</v>
      </c>
      <c r="E35" s="57"/>
      <c r="F35" s="28"/>
    </row>
    <row r="36">
      <c r="A36" s="33" t="s">
        <v>9</v>
      </c>
      <c r="B36" s="31"/>
      <c r="C36" s="32"/>
      <c r="D36" s="39">
        <f>D33-D34+D35</f>
        <v>177.6</v>
      </c>
      <c r="E36" s="90">
        <v>26347.0</v>
      </c>
      <c r="F36" s="41">
        <f>round(D36*E36,0)</f>
        <v>4679227</v>
      </c>
    </row>
    <row r="37">
      <c r="A37" s="33" t="s">
        <v>26</v>
      </c>
      <c r="B37" s="31"/>
      <c r="C37" s="32"/>
      <c r="D37" s="39"/>
      <c r="E37" s="90"/>
      <c r="F37" s="41">
        <f>round(F36*10%,0)</f>
        <v>467923</v>
      </c>
    </row>
    <row r="38">
      <c r="A38" s="33" t="s">
        <v>16</v>
      </c>
      <c r="B38" s="31"/>
      <c r="C38" s="32"/>
      <c r="D38" s="39"/>
      <c r="E38" s="90"/>
      <c r="F38" s="41">
        <f>F36+F37</f>
        <v>5147150</v>
      </c>
    </row>
    <row r="44">
      <c r="A44" s="52" t="s">
        <v>114</v>
      </c>
    </row>
    <row r="45">
      <c r="A45" s="53"/>
      <c r="B45" s="53"/>
      <c r="C45" s="53"/>
      <c r="D45" s="53"/>
      <c r="E45" s="53"/>
      <c r="F45" s="53"/>
    </row>
    <row r="46">
      <c r="A46" s="9" t="s">
        <v>4</v>
      </c>
      <c r="B46" s="9" t="s">
        <v>5</v>
      </c>
      <c r="C46" s="9" t="s">
        <v>6</v>
      </c>
      <c r="D46" s="9" t="s">
        <v>7</v>
      </c>
      <c r="E46" s="9" t="s">
        <v>8</v>
      </c>
      <c r="F46" s="9" t="s">
        <v>9</v>
      </c>
    </row>
    <row r="47">
      <c r="A47" s="13">
        <v>1.0</v>
      </c>
      <c r="B47" s="54" t="s">
        <v>115</v>
      </c>
      <c r="C47" s="55">
        <v>45962.0</v>
      </c>
      <c r="D47" s="22">
        <v>177.6</v>
      </c>
      <c r="E47" s="56"/>
      <c r="F47" s="28"/>
    </row>
    <row r="48">
      <c r="A48" s="30" t="s">
        <v>113</v>
      </c>
      <c r="B48" s="31"/>
      <c r="C48" s="32"/>
      <c r="D48" s="24">
        <f>round(D47*10%,2)</f>
        <v>17.76</v>
      </c>
      <c r="E48" s="57"/>
      <c r="F48" s="28"/>
    </row>
    <row r="49">
      <c r="A49" s="30" t="s">
        <v>106</v>
      </c>
      <c r="B49" s="31"/>
      <c r="C49" s="32"/>
      <c r="D49" s="24">
        <f>round(D47*10%,2)</f>
        <v>17.76</v>
      </c>
      <c r="E49" s="57"/>
      <c r="F49" s="28"/>
    </row>
    <row r="50">
      <c r="A50" s="33" t="s">
        <v>9</v>
      </c>
      <c r="B50" s="31"/>
      <c r="C50" s="32"/>
      <c r="D50" s="39">
        <f>D47-D48+D49</f>
        <v>177.6</v>
      </c>
      <c r="E50" s="90">
        <v>26412.0</v>
      </c>
      <c r="F50" s="41">
        <f>round(D50*E50,0)</f>
        <v>4690771</v>
      </c>
    </row>
    <row r="51">
      <c r="A51" s="33" t="s">
        <v>26</v>
      </c>
      <c r="B51" s="31"/>
      <c r="C51" s="32"/>
      <c r="D51" s="39"/>
      <c r="E51" s="90"/>
      <c r="F51" s="41">
        <f>round(F50*10%,0)</f>
        <v>469077</v>
      </c>
    </row>
    <row r="52">
      <c r="A52" s="33" t="s">
        <v>16</v>
      </c>
      <c r="B52" s="31"/>
      <c r="C52" s="32"/>
      <c r="D52" s="39"/>
      <c r="E52" s="90"/>
      <c r="F52" s="41">
        <f>F50+F51</f>
        <v>5159848</v>
      </c>
    </row>
    <row r="58">
      <c r="A58" s="52" t="s">
        <v>114</v>
      </c>
    </row>
    <row r="59">
      <c r="A59" s="53"/>
      <c r="B59" s="53"/>
      <c r="C59" s="53"/>
      <c r="D59" s="53"/>
      <c r="E59" s="53"/>
      <c r="F59" s="53"/>
    </row>
    <row r="60">
      <c r="A60" s="9" t="s">
        <v>4</v>
      </c>
      <c r="B60" s="9" t="s">
        <v>5</v>
      </c>
      <c r="C60" s="9" t="s">
        <v>6</v>
      </c>
      <c r="D60" s="9" t="s">
        <v>7</v>
      </c>
      <c r="E60" s="9" t="s">
        <v>8</v>
      </c>
      <c r="F60" s="9" t="s">
        <v>9</v>
      </c>
    </row>
    <row r="61">
      <c r="A61" s="13">
        <v>1.0</v>
      </c>
      <c r="B61" s="54" t="s">
        <v>115</v>
      </c>
      <c r="C61" s="55">
        <v>45992.0</v>
      </c>
      <c r="D61" s="22">
        <v>177.6</v>
      </c>
      <c r="E61" s="56"/>
      <c r="F61" s="28"/>
    </row>
    <row r="62">
      <c r="A62" s="30" t="s">
        <v>113</v>
      </c>
      <c r="B62" s="31"/>
      <c r="C62" s="32"/>
      <c r="D62" s="24">
        <f>round(D61*10%,2)</f>
        <v>17.76</v>
      </c>
      <c r="E62" s="57"/>
      <c r="F62" s="28"/>
    </row>
    <row r="63">
      <c r="A63" s="30" t="s">
        <v>106</v>
      </c>
      <c r="B63" s="31"/>
      <c r="C63" s="32"/>
      <c r="D63" s="24">
        <f>round(D61*10%,2)</f>
        <v>17.76</v>
      </c>
      <c r="E63" s="57"/>
      <c r="F63" s="28"/>
    </row>
    <row r="64">
      <c r="A64" s="33" t="s">
        <v>9</v>
      </c>
      <c r="B64" s="31"/>
      <c r="C64" s="32"/>
      <c r="D64" s="39">
        <f>D61-D62+D63</f>
        <v>177.6</v>
      </c>
      <c r="E64" s="90">
        <v>26377.0</v>
      </c>
      <c r="F64" s="41">
        <f>round(D64*E64,0)</f>
        <v>4684555</v>
      </c>
    </row>
    <row r="65">
      <c r="A65" s="33" t="s">
        <v>26</v>
      </c>
      <c r="B65" s="31"/>
      <c r="C65" s="32"/>
      <c r="D65" s="39"/>
      <c r="E65" s="90"/>
      <c r="F65" s="41">
        <f>round(F64*10%,0)</f>
        <v>468456</v>
      </c>
    </row>
    <row r="66">
      <c r="A66" s="33" t="s">
        <v>16</v>
      </c>
      <c r="B66" s="31"/>
      <c r="C66" s="32"/>
      <c r="D66" s="39"/>
      <c r="E66" s="90"/>
      <c r="F66" s="41">
        <f>F64+F65</f>
        <v>5153011</v>
      </c>
    </row>
    <row r="72">
      <c r="A72" s="52" t="s">
        <v>114</v>
      </c>
    </row>
    <row r="73">
      <c r="A73" s="53"/>
      <c r="B73" s="53"/>
      <c r="C73" s="53"/>
      <c r="D73" s="53"/>
      <c r="E73" s="53"/>
      <c r="F73" s="53"/>
    </row>
    <row r="74">
      <c r="A74" s="9" t="s">
        <v>4</v>
      </c>
      <c r="B74" s="9" t="s">
        <v>5</v>
      </c>
      <c r="C74" s="9" t="s">
        <v>6</v>
      </c>
      <c r="D74" s="9" t="s">
        <v>7</v>
      </c>
      <c r="E74" s="9" t="s">
        <v>8</v>
      </c>
      <c r="F74" s="9" t="s">
        <v>9</v>
      </c>
    </row>
    <row r="75">
      <c r="A75" s="13">
        <v>1.0</v>
      </c>
      <c r="B75" s="54" t="s">
        <v>115</v>
      </c>
      <c r="C75" s="55">
        <v>46023.0</v>
      </c>
      <c r="D75" s="22">
        <v>177.6</v>
      </c>
      <c r="E75" s="56"/>
      <c r="F75" s="28"/>
    </row>
    <row r="76">
      <c r="A76" s="30" t="s">
        <v>113</v>
      </c>
      <c r="B76" s="31"/>
      <c r="C76" s="32"/>
      <c r="D76" s="24">
        <f>round(D75*10%,2)</f>
        <v>17.76</v>
      </c>
      <c r="E76" s="57"/>
      <c r="F76" s="28"/>
    </row>
    <row r="77">
      <c r="A77" s="30" t="s">
        <v>106</v>
      </c>
      <c r="B77" s="31"/>
      <c r="C77" s="32"/>
      <c r="D77" s="24">
        <f>round(D75*10%,2)</f>
        <v>17.76</v>
      </c>
      <c r="E77" s="57"/>
      <c r="F77" s="28"/>
    </row>
    <row r="78">
      <c r="A78" s="33" t="s">
        <v>9</v>
      </c>
      <c r="B78" s="31"/>
      <c r="C78" s="32"/>
      <c r="D78" s="39">
        <f>D75-D76+D77</f>
        <v>177.6</v>
      </c>
      <c r="E78" s="90">
        <v>26145.0</v>
      </c>
      <c r="F78" s="41">
        <f>round(D78*E78,0)</f>
        <v>4643352</v>
      </c>
    </row>
    <row r="79">
      <c r="A79" s="33" t="s">
        <v>26</v>
      </c>
      <c r="B79" s="31"/>
      <c r="C79" s="32"/>
      <c r="D79" s="39"/>
      <c r="E79" s="90"/>
      <c r="F79" s="41">
        <f>round(F78*10%,0)</f>
        <v>464335</v>
      </c>
    </row>
    <row r="80">
      <c r="A80" s="33" t="s">
        <v>16</v>
      </c>
      <c r="B80" s="31"/>
      <c r="C80" s="32"/>
      <c r="D80" s="39"/>
      <c r="E80" s="90"/>
      <c r="F80" s="41">
        <f>F78+F79</f>
        <v>5107687</v>
      </c>
    </row>
    <row r="86">
      <c r="A86" s="52" t="s">
        <v>114</v>
      </c>
    </row>
    <row r="87">
      <c r="A87" s="53"/>
      <c r="B87" s="53"/>
      <c r="C87" s="53"/>
      <c r="D87" s="53"/>
      <c r="E87" s="53"/>
      <c r="F87" s="53"/>
    </row>
    <row r="88">
      <c r="A88" s="9" t="s">
        <v>4</v>
      </c>
      <c r="B88" s="9" t="s">
        <v>5</v>
      </c>
      <c r="C88" s="9" t="s">
        <v>6</v>
      </c>
      <c r="D88" s="9" t="s">
        <v>7</v>
      </c>
      <c r="E88" s="9" t="s">
        <v>8</v>
      </c>
      <c r="F88" s="9" t="s">
        <v>9</v>
      </c>
    </row>
    <row r="89">
      <c r="A89" s="13">
        <v>1.0</v>
      </c>
      <c r="B89" s="54" t="s">
        <v>115</v>
      </c>
      <c r="C89" s="55">
        <v>46054.0</v>
      </c>
      <c r="D89" s="22">
        <v>177.6</v>
      </c>
      <c r="E89" s="56"/>
      <c r="F89" s="28"/>
    </row>
    <row r="90">
      <c r="A90" s="30" t="s">
        <v>113</v>
      </c>
      <c r="B90" s="31"/>
      <c r="C90" s="32"/>
      <c r="D90" s="24">
        <f>round(D89*10%,2)</f>
        <v>17.76</v>
      </c>
      <c r="E90" s="57"/>
      <c r="F90" s="28"/>
    </row>
    <row r="91">
      <c r="A91" s="30" t="s">
        <v>106</v>
      </c>
      <c r="B91" s="31"/>
      <c r="C91" s="32"/>
      <c r="D91" s="24">
        <f>round(D89*10%,2)</f>
        <v>17.76</v>
      </c>
      <c r="E91" s="57"/>
      <c r="F91" s="28"/>
    </row>
    <row r="92">
      <c r="A92" s="33" t="s">
        <v>9</v>
      </c>
      <c r="B92" s="31"/>
      <c r="C92" s="32"/>
      <c r="D92" s="39">
        <f>D89-D90+D91</f>
        <v>177.6</v>
      </c>
      <c r="E92" s="90">
        <v>26240.0</v>
      </c>
      <c r="F92" s="41">
        <f>round(D92*E92,0)</f>
        <v>4660224</v>
      </c>
    </row>
    <row r="93">
      <c r="A93" s="33" t="s">
        <v>26</v>
      </c>
      <c r="B93" s="31"/>
      <c r="C93" s="32"/>
      <c r="D93" s="39"/>
      <c r="E93" s="90"/>
      <c r="F93" s="41">
        <f>round(F92*10%,0)</f>
        <v>466022</v>
      </c>
    </row>
    <row r="94">
      <c r="A94" s="33" t="s">
        <v>16</v>
      </c>
      <c r="B94" s="31"/>
      <c r="C94" s="32"/>
      <c r="D94" s="39"/>
      <c r="E94" s="90"/>
      <c r="F94" s="41">
        <f>F92+F93</f>
        <v>5126246</v>
      </c>
    </row>
    <row r="100">
      <c r="A100" s="52" t="s">
        <v>114</v>
      </c>
    </row>
    <row r="101">
      <c r="A101" s="53"/>
      <c r="B101" s="53"/>
      <c r="C101" s="53"/>
      <c r="D101" s="53"/>
      <c r="E101" s="53"/>
      <c r="F101" s="53"/>
    </row>
    <row r="102">
      <c r="A102" s="9" t="s">
        <v>4</v>
      </c>
      <c r="B102" s="9" t="s">
        <v>5</v>
      </c>
      <c r="C102" s="9" t="s">
        <v>6</v>
      </c>
      <c r="D102" s="9" t="s">
        <v>7</v>
      </c>
      <c r="E102" s="9" t="s">
        <v>8</v>
      </c>
      <c r="F102" s="9" t="s">
        <v>9</v>
      </c>
    </row>
    <row r="103">
      <c r="A103" s="13">
        <v>1.0</v>
      </c>
      <c r="B103" s="54" t="s">
        <v>115</v>
      </c>
      <c r="C103" s="55">
        <v>46082.0</v>
      </c>
      <c r="D103" s="22">
        <v>177.6</v>
      </c>
      <c r="E103" s="56"/>
      <c r="F103" s="28"/>
    </row>
    <row r="104">
      <c r="A104" s="30" t="s">
        <v>113</v>
      </c>
      <c r="B104" s="31"/>
      <c r="C104" s="32"/>
      <c r="D104" s="24">
        <f>round(D103*10%,2)</f>
        <v>17.76</v>
      </c>
      <c r="E104" s="57"/>
      <c r="F104" s="28"/>
    </row>
    <row r="105">
      <c r="A105" s="30" t="s">
        <v>106</v>
      </c>
      <c r="B105" s="31"/>
      <c r="C105" s="32"/>
      <c r="D105" s="24">
        <f>round(D103*10%,2)</f>
        <v>17.76</v>
      </c>
      <c r="E105" s="57"/>
      <c r="F105" s="28"/>
    </row>
    <row r="106">
      <c r="A106" s="33" t="s">
        <v>9</v>
      </c>
      <c r="B106" s="31"/>
      <c r="C106" s="32"/>
      <c r="D106" s="39">
        <f>D103-D104+D105</f>
        <v>177.6</v>
      </c>
      <c r="E106" s="90">
        <v>26357.0</v>
      </c>
      <c r="F106" s="41">
        <f>round(D106*E106,0)</f>
        <v>4681003</v>
      </c>
    </row>
    <row r="107">
      <c r="A107" s="33" t="s">
        <v>26</v>
      </c>
      <c r="B107" s="31"/>
      <c r="C107" s="32"/>
      <c r="D107" s="39"/>
      <c r="E107" s="90"/>
      <c r="F107" s="41">
        <f>round(F106*10%,0)</f>
        <v>468100</v>
      </c>
    </row>
    <row r="108">
      <c r="A108" s="33" t="s">
        <v>16</v>
      </c>
      <c r="B108" s="31"/>
      <c r="C108" s="32"/>
      <c r="D108" s="39"/>
      <c r="E108" s="90"/>
      <c r="F108" s="41">
        <f>F106+F107</f>
        <v>5149103</v>
      </c>
    </row>
    <row r="114">
      <c r="A114" s="52" t="s">
        <v>114</v>
      </c>
    </row>
    <row r="115">
      <c r="A115" s="53"/>
      <c r="B115" s="53"/>
      <c r="C115" s="53"/>
      <c r="D115" s="53"/>
      <c r="E115" s="53"/>
      <c r="F115" s="53"/>
    </row>
    <row r="116">
      <c r="A116" s="9" t="s">
        <v>4</v>
      </c>
      <c r="B116" s="9" t="s">
        <v>5</v>
      </c>
      <c r="C116" s="9" t="s">
        <v>6</v>
      </c>
      <c r="D116" s="9" t="s">
        <v>7</v>
      </c>
      <c r="E116" s="9" t="s">
        <v>8</v>
      </c>
      <c r="F116" s="9" t="s">
        <v>9</v>
      </c>
    </row>
    <row r="117">
      <c r="A117" s="13">
        <v>1.0</v>
      </c>
      <c r="B117" s="54" t="s">
        <v>115</v>
      </c>
      <c r="C117" s="55">
        <v>46113.0</v>
      </c>
      <c r="D117" s="22">
        <v>177.6</v>
      </c>
      <c r="E117" s="56"/>
      <c r="F117" s="28"/>
    </row>
    <row r="118">
      <c r="A118" s="30" t="s">
        <v>113</v>
      </c>
      <c r="B118" s="31"/>
      <c r="C118" s="32"/>
      <c r="D118" s="24">
        <f>round(D117*10%,2)</f>
        <v>17.76</v>
      </c>
      <c r="E118" s="57"/>
      <c r="F118" s="28"/>
    </row>
    <row r="119">
      <c r="A119" s="30" t="s">
        <v>106</v>
      </c>
      <c r="B119" s="31"/>
      <c r="C119" s="32"/>
      <c r="D119" s="24">
        <f>round(D117*10%,2)</f>
        <v>17.76</v>
      </c>
      <c r="E119" s="57"/>
      <c r="F119" s="28"/>
    </row>
    <row r="120">
      <c r="A120" s="33" t="s">
        <v>9</v>
      </c>
      <c r="B120" s="31"/>
      <c r="C120" s="32"/>
      <c r="D120" s="39">
        <f>D117-D118+D119</f>
        <v>177.6</v>
      </c>
      <c r="E120" s="90">
        <v>26368.0</v>
      </c>
      <c r="F120" s="41">
        <f>round(D120*E120,0)</f>
        <v>4682957</v>
      </c>
    </row>
    <row r="121">
      <c r="A121" s="33" t="s">
        <v>26</v>
      </c>
      <c r="B121" s="31"/>
      <c r="C121" s="32"/>
      <c r="D121" s="39"/>
      <c r="E121" s="90"/>
      <c r="F121" s="41">
        <f>round(F120*10%,0)</f>
        <v>468296</v>
      </c>
    </row>
    <row r="122">
      <c r="A122" s="33" t="s">
        <v>16</v>
      </c>
      <c r="B122" s="31"/>
      <c r="C122" s="32"/>
      <c r="D122" s="39"/>
      <c r="E122" s="90"/>
      <c r="F122" s="41">
        <f>F120+F121</f>
        <v>5151253</v>
      </c>
    </row>
    <row r="128">
      <c r="A128" s="52" t="s">
        <v>114</v>
      </c>
    </row>
    <row r="129">
      <c r="A129" s="53"/>
      <c r="B129" s="53"/>
      <c r="C129" s="53"/>
      <c r="D129" s="53"/>
      <c r="E129" s="53"/>
      <c r="F129" s="53"/>
    </row>
    <row r="130">
      <c r="A130" s="9" t="s">
        <v>4</v>
      </c>
      <c r="B130" s="9" t="s">
        <v>5</v>
      </c>
      <c r="C130" s="9" t="s">
        <v>6</v>
      </c>
      <c r="D130" s="9" t="s">
        <v>7</v>
      </c>
      <c r="E130" s="9" t="s">
        <v>8</v>
      </c>
      <c r="F130" s="9" t="s">
        <v>9</v>
      </c>
    </row>
    <row r="131">
      <c r="A131" s="13">
        <v>1.0</v>
      </c>
      <c r="B131" s="54" t="s">
        <v>115</v>
      </c>
      <c r="C131" s="55">
        <v>46113.0</v>
      </c>
      <c r="D131" s="22">
        <v>177.6</v>
      </c>
      <c r="E131" s="56"/>
      <c r="F131" s="28"/>
    </row>
    <row r="132">
      <c r="A132" s="30" t="s">
        <v>113</v>
      </c>
      <c r="B132" s="31"/>
      <c r="C132" s="32"/>
      <c r="D132" s="24">
        <f>round(D131*10%,2)</f>
        <v>17.76</v>
      </c>
      <c r="E132" s="57"/>
      <c r="F132" s="28"/>
    </row>
    <row r="133">
      <c r="A133" s="30" t="s">
        <v>106</v>
      </c>
      <c r="B133" s="31"/>
      <c r="C133" s="32"/>
      <c r="D133" s="24">
        <f>round(D131*10%,2)</f>
        <v>17.76</v>
      </c>
      <c r="E133" s="57"/>
      <c r="F133" s="28"/>
    </row>
    <row r="134">
      <c r="A134" s="33" t="s">
        <v>9</v>
      </c>
      <c r="B134" s="31"/>
      <c r="C134" s="32"/>
      <c r="D134" s="39">
        <f>D131-D132+D133</f>
        <v>177.6</v>
      </c>
      <c r="E134" s="90">
        <v>26368.0</v>
      </c>
      <c r="F134" s="41">
        <f>round(D134*E134,0)</f>
        <v>4682957</v>
      </c>
    </row>
    <row r="135">
      <c r="A135" s="33" t="s">
        <v>26</v>
      </c>
      <c r="B135" s="31"/>
      <c r="C135" s="32"/>
      <c r="D135" s="39"/>
      <c r="E135" s="90"/>
      <c r="F135" s="41">
        <f>round(F134*10%,0)</f>
        <v>468296</v>
      </c>
    </row>
    <row r="136">
      <c r="A136" s="33" t="s">
        <v>16</v>
      </c>
      <c r="B136" s="31"/>
      <c r="C136" s="32"/>
      <c r="D136" s="39"/>
      <c r="E136" s="90"/>
      <c r="F136" s="41">
        <f>F134+F135</f>
        <v>5151253</v>
      </c>
    </row>
    <row r="142">
      <c r="A142" s="52" t="s">
        <v>114</v>
      </c>
    </row>
    <row r="143">
      <c r="A143" s="53"/>
      <c r="B143" s="53"/>
      <c r="C143" s="53"/>
      <c r="D143" s="53"/>
      <c r="E143" s="53"/>
      <c r="F143" s="53"/>
    </row>
    <row r="144">
      <c r="A144" s="9" t="s">
        <v>4</v>
      </c>
      <c r="B144" s="9" t="s">
        <v>5</v>
      </c>
      <c r="C144" s="9" t="s">
        <v>6</v>
      </c>
      <c r="D144" s="9" t="s">
        <v>7</v>
      </c>
      <c r="E144" s="9" t="s">
        <v>8</v>
      </c>
      <c r="F144" s="9" t="s">
        <v>9</v>
      </c>
    </row>
    <row r="145">
      <c r="A145" s="13">
        <v>1.0</v>
      </c>
      <c r="B145" s="54" t="s">
        <v>115</v>
      </c>
      <c r="C145" s="55">
        <v>46143.0</v>
      </c>
      <c r="D145" s="22">
        <v>177.6</v>
      </c>
      <c r="E145" s="56"/>
      <c r="F145" s="28"/>
    </row>
    <row r="146">
      <c r="A146" s="30" t="s">
        <v>113</v>
      </c>
      <c r="B146" s="31"/>
      <c r="C146" s="32"/>
      <c r="D146" s="24">
        <f>round(D145*10%,2)</f>
        <v>17.76</v>
      </c>
      <c r="E146" s="57"/>
      <c r="F146" s="28"/>
    </row>
    <row r="147">
      <c r="A147" s="30" t="s">
        <v>106</v>
      </c>
      <c r="B147" s="31"/>
      <c r="C147" s="32"/>
      <c r="D147" s="24">
        <f>round(D145*10%,2)</f>
        <v>17.76</v>
      </c>
      <c r="E147" s="57"/>
      <c r="F147" s="28"/>
    </row>
    <row r="148">
      <c r="A148" s="33" t="s">
        <v>9</v>
      </c>
      <c r="B148" s="31"/>
      <c r="C148" s="32"/>
      <c r="D148" s="39">
        <f>D145-D146+D147</f>
        <v>177.6</v>
      </c>
      <c r="E148" s="90">
        <v>26395.0</v>
      </c>
      <c r="F148" s="41">
        <f>round(D148*E148,0)</f>
        <v>4687752</v>
      </c>
    </row>
    <row r="149">
      <c r="A149" s="33" t="s">
        <v>26</v>
      </c>
      <c r="B149" s="31"/>
      <c r="C149" s="32"/>
      <c r="D149" s="39"/>
      <c r="E149" s="90"/>
      <c r="F149" s="41">
        <f>round(F148*10%,0)</f>
        <v>468775</v>
      </c>
    </row>
    <row r="150">
      <c r="A150" s="33" t="s">
        <v>16</v>
      </c>
      <c r="B150" s="31"/>
      <c r="C150" s="32"/>
      <c r="D150" s="39"/>
      <c r="E150" s="90"/>
      <c r="F150" s="41">
        <f>F148+F149</f>
        <v>5156527</v>
      </c>
    </row>
    <row r="170">
      <c r="A170" s="52" t="s">
        <v>114</v>
      </c>
    </row>
    <row r="171">
      <c r="A171" s="53"/>
      <c r="B171" s="53"/>
      <c r="C171" s="53"/>
      <c r="D171" s="53"/>
      <c r="E171" s="53"/>
      <c r="F171" s="53"/>
    </row>
    <row r="172">
      <c r="A172" s="9" t="s">
        <v>4</v>
      </c>
      <c r="B172" s="9" t="s">
        <v>5</v>
      </c>
      <c r="C172" s="9" t="s">
        <v>6</v>
      </c>
      <c r="D172" s="9" t="s">
        <v>7</v>
      </c>
      <c r="E172" s="9" t="s">
        <v>8</v>
      </c>
      <c r="F172" s="9" t="s">
        <v>9</v>
      </c>
    </row>
    <row r="173">
      <c r="A173" s="13">
        <v>1.0</v>
      </c>
      <c r="B173" s="54" t="s">
        <v>115</v>
      </c>
      <c r="C173" s="55">
        <v>46204.0</v>
      </c>
      <c r="D173" s="22">
        <v>177.6</v>
      </c>
      <c r="E173" s="56"/>
      <c r="F173" s="28"/>
    </row>
    <row r="174">
      <c r="A174" s="30" t="s">
        <v>113</v>
      </c>
      <c r="B174" s="31"/>
      <c r="C174" s="32"/>
      <c r="D174" s="24">
        <f>round(D173*10%,2)</f>
        <v>17.76</v>
      </c>
      <c r="E174" s="57"/>
      <c r="F174" s="28"/>
    </row>
    <row r="175">
      <c r="A175" s="30" t="s">
        <v>106</v>
      </c>
      <c r="B175" s="31"/>
      <c r="C175" s="32"/>
      <c r="D175" s="24">
        <f>round(D173*10%,2)</f>
        <v>17.76</v>
      </c>
      <c r="E175" s="57"/>
      <c r="F175" s="28"/>
    </row>
    <row r="176">
      <c r="A176" s="33" t="s">
        <v>9</v>
      </c>
      <c r="B176" s="31"/>
      <c r="C176" s="32"/>
      <c r="D176" s="39">
        <f>D173-D174+D175</f>
        <v>177.6</v>
      </c>
      <c r="E176" s="90">
        <v>26475.0</v>
      </c>
      <c r="F176" s="41">
        <f>round(D176*E176,0)</f>
        <v>4701960</v>
      </c>
    </row>
    <row r="177">
      <c r="A177" s="33" t="s">
        <v>26</v>
      </c>
      <c r="B177" s="31"/>
      <c r="C177" s="32"/>
      <c r="D177" s="39"/>
      <c r="E177" s="90"/>
      <c r="F177" s="41">
        <f>round(F176*10%,0)</f>
        <v>470196</v>
      </c>
    </row>
    <row r="178">
      <c r="A178" s="33" t="s">
        <v>16</v>
      </c>
      <c r="B178" s="31"/>
      <c r="C178" s="32"/>
      <c r="D178" s="39"/>
      <c r="E178" s="90"/>
      <c r="F178" s="41">
        <f>F176+F177</f>
        <v>5172156</v>
      </c>
    </row>
  </sheetData>
  <mergeCells count="72">
    <mergeCell ref="A118:C118"/>
    <mergeCell ref="A119:C119"/>
    <mergeCell ref="A120:C120"/>
    <mergeCell ref="A121:C121"/>
    <mergeCell ref="A122:C122"/>
    <mergeCell ref="A128:F128"/>
    <mergeCell ref="A132:C132"/>
    <mergeCell ref="A133:C133"/>
    <mergeCell ref="A134:C134"/>
    <mergeCell ref="A135:C135"/>
    <mergeCell ref="A136:C136"/>
    <mergeCell ref="A142:F142"/>
    <mergeCell ref="A146:C146"/>
    <mergeCell ref="A147:C147"/>
    <mergeCell ref="A177:C177"/>
    <mergeCell ref="A178:C178"/>
    <mergeCell ref="A148:C148"/>
    <mergeCell ref="A149:C149"/>
    <mergeCell ref="A150:C150"/>
    <mergeCell ref="A170:F170"/>
    <mergeCell ref="A174:C174"/>
    <mergeCell ref="A175:C175"/>
    <mergeCell ref="A176:C176"/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30:F30"/>
    <mergeCell ref="A34:C34"/>
    <mergeCell ref="A35:C35"/>
    <mergeCell ref="A36:C36"/>
    <mergeCell ref="A37:C37"/>
    <mergeCell ref="A38:C38"/>
    <mergeCell ref="A44:F44"/>
    <mergeCell ref="A48:C48"/>
    <mergeCell ref="A49:C49"/>
    <mergeCell ref="A50:C50"/>
    <mergeCell ref="A51:C51"/>
    <mergeCell ref="A52:C52"/>
    <mergeCell ref="A58:F58"/>
    <mergeCell ref="A62:C62"/>
    <mergeCell ref="A63:C63"/>
    <mergeCell ref="A64:C64"/>
    <mergeCell ref="A65:C65"/>
    <mergeCell ref="A66:C66"/>
    <mergeCell ref="A72:F72"/>
    <mergeCell ref="A76:C76"/>
    <mergeCell ref="A77:C77"/>
    <mergeCell ref="A78:C78"/>
    <mergeCell ref="A79:C79"/>
    <mergeCell ref="A80:C80"/>
    <mergeCell ref="A86:F86"/>
    <mergeCell ref="A90:C90"/>
    <mergeCell ref="A91:C91"/>
    <mergeCell ref="A92:C92"/>
    <mergeCell ref="A93:C93"/>
    <mergeCell ref="A94:C94"/>
    <mergeCell ref="A100:F100"/>
    <mergeCell ref="A104:C104"/>
    <mergeCell ref="A105:C105"/>
    <mergeCell ref="A106:C106"/>
    <mergeCell ref="A107:C107"/>
    <mergeCell ref="A108:C108"/>
    <mergeCell ref="A114:F114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50.88"/>
    <col customWidth="1" min="3" max="3" width="10.88"/>
    <col customWidth="1" min="4" max="4" width="20.5"/>
    <col customWidth="1" min="5" max="5" width="11.5"/>
    <col customWidth="1" min="6" max="6" width="17.13"/>
  </cols>
  <sheetData>
    <row r="1">
      <c r="A1" s="52" t="s">
        <v>116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117</v>
      </c>
      <c r="C4" s="55">
        <v>45870.0</v>
      </c>
      <c r="D4" s="22">
        <v>646.05</v>
      </c>
      <c r="E4" s="56"/>
      <c r="F4" s="28"/>
    </row>
    <row r="5">
      <c r="A5" s="30" t="s">
        <v>113</v>
      </c>
      <c r="B5" s="31"/>
      <c r="C5" s="32"/>
      <c r="D5" s="24">
        <f>round(D4*10%,2)</f>
        <v>64.61</v>
      </c>
      <c r="E5" s="57"/>
      <c r="F5" s="28"/>
    </row>
    <row r="6">
      <c r="A6" s="30" t="s">
        <v>106</v>
      </c>
      <c r="B6" s="31"/>
      <c r="C6" s="32"/>
      <c r="D6" s="24">
        <f>round(D4*10%,2)</f>
        <v>64.61</v>
      </c>
      <c r="E6" s="57"/>
      <c r="F6" s="28"/>
    </row>
    <row r="7">
      <c r="A7" s="33" t="s">
        <v>9</v>
      </c>
      <c r="B7" s="31"/>
      <c r="C7" s="32"/>
      <c r="D7" s="39">
        <f>D4+D5-D6</f>
        <v>646.05</v>
      </c>
      <c r="E7" s="90">
        <v>26502.0</v>
      </c>
      <c r="F7" s="41">
        <f>round(D7*E7,0)</f>
        <v>17121617</v>
      </c>
    </row>
    <row r="8">
      <c r="A8" s="33" t="s">
        <v>26</v>
      </c>
      <c r="B8" s="31"/>
      <c r="C8" s="32"/>
      <c r="D8" s="39"/>
      <c r="E8" s="90"/>
      <c r="F8" s="41">
        <f>round(F7*10%,0)</f>
        <v>1712162</v>
      </c>
    </row>
    <row r="9">
      <c r="A9" s="33" t="s">
        <v>16</v>
      </c>
      <c r="B9" s="31"/>
      <c r="C9" s="32"/>
      <c r="D9" s="39"/>
      <c r="E9" s="90"/>
      <c r="F9" s="41">
        <f>F7+F8</f>
        <v>18833779</v>
      </c>
    </row>
    <row r="15">
      <c r="A15" s="52" t="s">
        <v>116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117</v>
      </c>
      <c r="C18" s="55">
        <v>45901.0</v>
      </c>
      <c r="D18" s="22">
        <v>606.54</v>
      </c>
      <c r="E18" s="56"/>
      <c r="F18" s="28"/>
    </row>
    <row r="19">
      <c r="A19" s="30" t="s">
        <v>113</v>
      </c>
      <c r="B19" s="31"/>
      <c r="C19" s="32"/>
      <c r="D19" s="24">
        <f>round(D18*10%,2)</f>
        <v>60.65</v>
      </c>
      <c r="E19" s="57"/>
      <c r="F19" s="28"/>
    </row>
    <row r="20">
      <c r="A20" s="30" t="s">
        <v>106</v>
      </c>
      <c r="B20" s="31"/>
      <c r="C20" s="32"/>
      <c r="D20" s="24">
        <f>round(D18*10%,2)</f>
        <v>60.65</v>
      </c>
      <c r="E20" s="57"/>
      <c r="F20" s="28"/>
    </row>
    <row r="21">
      <c r="A21" s="33" t="s">
        <v>9</v>
      </c>
      <c r="B21" s="31"/>
      <c r="C21" s="32"/>
      <c r="D21" s="39">
        <f>D18-D19+D20</f>
        <v>606.54</v>
      </c>
      <c r="E21" s="90">
        <v>26446.0</v>
      </c>
      <c r="F21" s="41">
        <f>round(D21*E21,0)</f>
        <v>16040557</v>
      </c>
    </row>
    <row r="22">
      <c r="A22" s="33" t="s">
        <v>26</v>
      </c>
      <c r="B22" s="31"/>
      <c r="C22" s="32"/>
      <c r="D22" s="39"/>
      <c r="E22" s="90"/>
      <c r="F22" s="41">
        <f>round(F21*10%,0)</f>
        <v>1604056</v>
      </c>
    </row>
    <row r="23">
      <c r="A23" s="33" t="s">
        <v>16</v>
      </c>
      <c r="B23" s="31"/>
      <c r="C23" s="32"/>
      <c r="D23" s="39"/>
      <c r="E23" s="90"/>
      <c r="F23" s="41">
        <f>F21+F22</f>
        <v>17644613</v>
      </c>
    </row>
    <row r="29">
      <c r="A29" s="52" t="s">
        <v>116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117</v>
      </c>
      <c r="C32" s="55">
        <v>45931.0</v>
      </c>
      <c r="D32" s="22">
        <v>603.48</v>
      </c>
      <c r="E32" s="56"/>
      <c r="F32" s="28"/>
    </row>
    <row r="33">
      <c r="A33" s="30" t="s">
        <v>113</v>
      </c>
      <c r="B33" s="31"/>
      <c r="C33" s="32"/>
      <c r="D33" s="24">
        <f>round(D32*10%,2)</f>
        <v>60.35</v>
      </c>
      <c r="E33" s="57"/>
      <c r="F33" s="28"/>
    </row>
    <row r="34">
      <c r="A34" s="30" t="s">
        <v>106</v>
      </c>
      <c r="B34" s="31"/>
      <c r="C34" s="32"/>
      <c r="D34" s="24">
        <f>round(D32*10%,2)</f>
        <v>60.35</v>
      </c>
      <c r="E34" s="57"/>
      <c r="F34" s="28"/>
    </row>
    <row r="35">
      <c r="A35" s="33" t="s">
        <v>9</v>
      </c>
      <c r="B35" s="31"/>
      <c r="C35" s="32"/>
      <c r="D35" s="39">
        <f>D32-D33+D34</f>
        <v>603.48</v>
      </c>
      <c r="E35" s="90">
        <v>26347.0</v>
      </c>
      <c r="F35" s="41">
        <f>round(D35*E35,0)</f>
        <v>15899888</v>
      </c>
    </row>
    <row r="36">
      <c r="A36" s="33" t="s">
        <v>26</v>
      </c>
      <c r="B36" s="31"/>
      <c r="C36" s="32"/>
      <c r="D36" s="39"/>
      <c r="E36" s="90"/>
      <c r="F36" s="41">
        <f>round(F35*10%,0)</f>
        <v>1589989</v>
      </c>
    </row>
    <row r="37">
      <c r="A37" s="33" t="s">
        <v>16</v>
      </c>
      <c r="B37" s="31"/>
      <c r="C37" s="32"/>
      <c r="D37" s="39"/>
      <c r="E37" s="90"/>
      <c r="F37" s="41">
        <f>F35+F36</f>
        <v>17489877</v>
      </c>
    </row>
    <row r="42">
      <c r="A42" s="52" t="s">
        <v>116</v>
      </c>
    </row>
    <row r="43">
      <c r="A43" s="53"/>
      <c r="B43" s="53"/>
      <c r="C43" s="53"/>
      <c r="D43" s="53"/>
      <c r="E43" s="53"/>
      <c r="F43" s="53"/>
    </row>
    <row r="44">
      <c r="A44" s="9" t="s">
        <v>4</v>
      </c>
      <c r="B44" s="9" t="s">
        <v>5</v>
      </c>
      <c r="C44" s="9" t="s">
        <v>6</v>
      </c>
      <c r="D44" s="9" t="s">
        <v>7</v>
      </c>
      <c r="E44" s="9" t="s">
        <v>8</v>
      </c>
      <c r="F44" s="9" t="s">
        <v>9</v>
      </c>
    </row>
    <row r="45">
      <c r="A45" s="13">
        <v>1.0</v>
      </c>
      <c r="B45" s="54" t="s">
        <v>117</v>
      </c>
      <c r="C45" s="55">
        <v>45962.0</v>
      </c>
      <c r="D45" s="22">
        <v>603.48</v>
      </c>
      <c r="E45" s="56"/>
      <c r="F45" s="28"/>
    </row>
    <row r="46">
      <c r="A46" s="30" t="s">
        <v>113</v>
      </c>
      <c r="B46" s="31"/>
      <c r="C46" s="32"/>
      <c r="D46" s="24">
        <f>round(D45*10%,2)</f>
        <v>60.35</v>
      </c>
      <c r="E46" s="57"/>
      <c r="F46" s="28"/>
    </row>
    <row r="47">
      <c r="A47" s="30" t="s">
        <v>106</v>
      </c>
      <c r="B47" s="31"/>
      <c r="C47" s="32"/>
      <c r="D47" s="24">
        <f>round(D45*10%,2)</f>
        <v>60.35</v>
      </c>
      <c r="E47" s="57"/>
      <c r="F47" s="28"/>
    </row>
    <row r="48">
      <c r="A48" s="33" t="s">
        <v>9</v>
      </c>
      <c r="B48" s="31"/>
      <c r="C48" s="32"/>
      <c r="D48" s="39">
        <f>D45-D46+D47</f>
        <v>603.48</v>
      </c>
      <c r="E48" s="90">
        <v>26412.0</v>
      </c>
      <c r="F48" s="41">
        <f>round(D48*E48,0)</f>
        <v>15939114</v>
      </c>
    </row>
    <row r="49">
      <c r="A49" s="33" t="s">
        <v>26</v>
      </c>
      <c r="B49" s="31"/>
      <c r="C49" s="32"/>
      <c r="D49" s="39"/>
      <c r="E49" s="90"/>
      <c r="F49" s="41">
        <f>round(F48*10%,0)</f>
        <v>1593911</v>
      </c>
    </row>
    <row r="50">
      <c r="A50" s="33" t="s">
        <v>16</v>
      </c>
      <c r="B50" s="31"/>
      <c r="C50" s="32"/>
      <c r="D50" s="39"/>
      <c r="E50" s="90"/>
      <c r="F50" s="41">
        <f>F48+F49</f>
        <v>17533025</v>
      </c>
    </row>
    <row r="56">
      <c r="A56" s="52" t="s">
        <v>116</v>
      </c>
    </row>
    <row r="57">
      <c r="A57" s="53"/>
      <c r="B57" s="53"/>
      <c r="C57" s="53"/>
      <c r="D57" s="53"/>
      <c r="E57" s="53"/>
      <c r="F57" s="53"/>
    </row>
    <row r="58">
      <c r="A58" s="9" t="s">
        <v>4</v>
      </c>
      <c r="B58" s="9" t="s">
        <v>5</v>
      </c>
      <c r="C58" s="9" t="s">
        <v>6</v>
      </c>
      <c r="D58" s="9" t="s">
        <v>7</v>
      </c>
      <c r="E58" s="9" t="s">
        <v>8</v>
      </c>
      <c r="F58" s="9" t="s">
        <v>9</v>
      </c>
    </row>
    <row r="59">
      <c r="A59" s="13">
        <v>1.0</v>
      </c>
      <c r="B59" s="54" t="s">
        <v>117</v>
      </c>
      <c r="C59" s="55">
        <v>45992.0</v>
      </c>
      <c r="D59" s="22">
        <v>603.48</v>
      </c>
      <c r="E59" s="56"/>
      <c r="F59" s="28"/>
    </row>
    <row r="60">
      <c r="A60" s="30" t="s">
        <v>113</v>
      </c>
      <c r="B60" s="31"/>
      <c r="C60" s="32"/>
      <c r="D60" s="24">
        <f>round(D59*10%,2)</f>
        <v>60.35</v>
      </c>
      <c r="E60" s="57"/>
      <c r="F60" s="28"/>
    </row>
    <row r="61">
      <c r="A61" s="30" t="s">
        <v>106</v>
      </c>
      <c r="B61" s="31"/>
      <c r="C61" s="32"/>
      <c r="D61" s="24">
        <f>round(D59*10%,2)</f>
        <v>60.35</v>
      </c>
      <c r="E61" s="57"/>
      <c r="F61" s="28"/>
    </row>
    <row r="62">
      <c r="A62" s="33" t="s">
        <v>9</v>
      </c>
      <c r="B62" s="31"/>
      <c r="C62" s="32"/>
      <c r="D62" s="39">
        <f>D59-D60+D61</f>
        <v>603.48</v>
      </c>
      <c r="E62" s="90">
        <v>26377.0</v>
      </c>
      <c r="F62" s="41">
        <f>round(D62*E62,0)</f>
        <v>15917992</v>
      </c>
    </row>
    <row r="63">
      <c r="A63" s="33" t="s">
        <v>26</v>
      </c>
      <c r="B63" s="31"/>
      <c r="C63" s="32"/>
      <c r="D63" s="39"/>
      <c r="E63" s="90"/>
      <c r="F63" s="41">
        <f>round(F62*10%,0)</f>
        <v>1591799</v>
      </c>
    </row>
    <row r="64">
      <c r="A64" s="33" t="s">
        <v>16</v>
      </c>
      <c r="B64" s="31"/>
      <c r="C64" s="32"/>
      <c r="D64" s="39"/>
      <c r="E64" s="90"/>
      <c r="F64" s="41">
        <f>F62+F63</f>
        <v>17509791</v>
      </c>
    </row>
    <row r="70">
      <c r="A70" s="52" t="s">
        <v>116</v>
      </c>
    </row>
    <row r="71">
      <c r="A71" s="53"/>
      <c r="B71" s="53"/>
      <c r="C71" s="53"/>
      <c r="D71" s="53"/>
      <c r="E71" s="53"/>
      <c r="F71" s="53"/>
    </row>
    <row r="72">
      <c r="A72" s="9" t="s">
        <v>4</v>
      </c>
      <c r="B72" s="9" t="s">
        <v>5</v>
      </c>
      <c r="C72" s="9" t="s">
        <v>6</v>
      </c>
      <c r="D72" s="9" t="s">
        <v>7</v>
      </c>
      <c r="E72" s="9" t="s">
        <v>8</v>
      </c>
      <c r="F72" s="9" t="s">
        <v>9</v>
      </c>
    </row>
    <row r="73">
      <c r="A73" s="13">
        <v>1.0</v>
      </c>
      <c r="B73" s="54" t="s">
        <v>117</v>
      </c>
      <c r="C73" s="55">
        <v>46023.0</v>
      </c>
      <c r="D73" s="22">
        <v>603.48</v>
      </c>
      <c r="E73" s="56"/>
      <c r="F73" s="28"/>
    </row>
    <row r="74">
      <c r="A74" s="30" t="s">
        <v>113</v>
      </c>
      <c r="B74" s="31"/>
      <c r="C74" s="32"/>
      <c r="D74" s="24">
        <f>round(D73*10%,2)</f>
        <v>60.35</v>
      </c>
      <c r="E74" s="57"/>
      <c r="F74" s="28"/>
    </row>
    <row r="75">
      <c r="A75" s="30" t="s">
        <v>106</v>
      </c>
      <c r="B75" s="31"/>
      <c r="C75" s="32"/>
      <c r="D75" s="24">
        <f>round(D73*10%,2)</f>
        <v>60.35</v>
      </c>
      <c r="E75" s="57"/>
      <c r="F75" s="28"/>
    </row>
    <row r="76">
      <c r="A76" s="33" t="s">
        <v>9</v>
      </c>
      <c r="B76" s="31"/>
      <c r="C76" s="32"/>
      <c r="D76" s="39">
        <f>D73-D74+D75</f>
        <v>603.48</v>
      </c>
      <c r="E76" s="90">
        <v>26145.0</v>
      </c>
      <c r="F76" s="41">
        <f>round(D76*E76,0)</f>
        <v>15777985</v>
      </c>
    </row>
    <row r="77">
      <c r="A77" s="33" t="s">
        <v>26</v>
      </c>
      <c r="B77" s="31"/>
      <c r="C77" s="32"/>
      <c r="D77" s="39"/>
      <c r="E77" s="90"/>
      <c r="F77" s="41">
        <f>round(F76*10%,0)</f>
        <v>1577799</v>
      </c>
    </row>
    <row r="78">
      <c r="A78" s="33" t="s">
        <v>16</v>
      </c>
      <c r="B78" s="31"/>
      <c r="C78" s="32"/>
      <c r="D78" s="39"/>
      <c r="E78" s="90"/>
      <c r="F78" s="41">
        <f>F76+F77</f>
        <v>17355784</v>
      </c>
    </row>
    <row r="84">
      <c r="A84" s="52" t="s">
        <v>116</v>
      </c>
    </row>
    <row r="85">
      <c r="A85" s="53"/>
      <c r="B85" s="53"/>
      <c r="C85" s="53"/>
      <c r="D85" s="53"/>
      <c r="E85" s="53"/>
      <c r="F85" s="53"/>
    </row>
    <row r="86">
      <c r="A86" s="9" t="s">
        <v>4</v>
      </c>
      <c r="B86" s="9" t="s">
        <v>5</v>
      </c>
      <c r="C86" s="9" t="s">
        <v>6</v>
      </c>
      <c r="D86" s="9" t="s">
        <v>7</v>
      </c>
      <c r="E86" s="9" t="s">
        <v>8</v>
      </c>
      <c r="F86" s="9" t="s">
        <v>9</v>
      </c>
    </row>
    <row r="87">
      <c r="A87" s="13">
        <v>1.0</v>
      </c>
      <c r="B87" s="54" t="s">
        <v>117</v>
      </c>
      <c r="C87" s="55">
        <v>46054.0</v>
      </c>
      <c r="D87" s="22">
        <v>605.36</v>
      </c>
      <c r="E87" s="56"/>
      <c r="F87" s="28"/>
    </row>
    <row r="88">
      <c r="A88" s="30" t="s">
        <v>113</v>
      </c>
      <c r="B88" s="31"/>
      <c r="C88" s="32"/>
      <c r="D88" s="24">
        <f>round(D87*10%,2)</f>
        <v>60.54</v>
      </c>
      <c r="E88" s="57"/>
      <c r="F88" s="28"/>
    </row>
    <row r="89">
      <c r="A89" s="30" t="s">
        <v>106</v>
      </c>
      <c r="B89" s="31"/>
      <c r="C89" s="32"/>
      <c r="D89" s="24">
        <f>round(D87*10%,2)</f>
        <v>60.54</v>
      </c>
      <c r="E89" s="57"/>
      <c r="F89" s="28"/>
    </row>
    <row r="90">
      <c r="A90" s="33" t="s">
        <v>9</v>
      </c>
      <c r="B90" s="31"/>
      <c r="C90" s="32"/>
      <c r="D90" s="39">
        <f>D87-D88+D89</f>
        <v>605.36</v>
      </c>
      <c r="E90" s="90">
        <v>26240.0</v>
      </c>
      <c r="F90" s="41">
        <f>round(D90*E90,0)</f>
        <v>15884646</v>
      </c>
    </row>
    <row r="91">
      <c r="A91" s="33" t="s">
        <v>26</v>
      </c>
      <c r="B91" s="31"/>
      <c r="C91" s="32"/>
      <c r="D91" s="39"/>
      <c r="E91" s="90"/>
      <c r="F91" s="41">
        <f>round(F90*10%,0)</f>
        <v>1588465</v>
      </c>
    </row>
    <row r="92">
      <c r="A92" s="33" t="s">
        <v>16</v>
      </c>
      <c r="B92" s="31"/>
      <c r="C92" s="32"/>
      <c r="D92" s="39"/>
      <c r="E92" s="90"/>
      <c r="F92" s="41">
        <f>F90+F91</f>
        <v>17473111</v>
      </c>
    </row>
    <row r="97">
      <c r="A97" s="52" t="s">
        <v>116</v>
      </c>
    </row>
    <row r="98">
      <c r="A98" s="53"/>
      <c r="B98" s="53"/>
      <c r="C98" s="53"/>
      <c r="D98" s="53"/>
      <c r="E98" s="53"/>
      <c r="F98" s="53"/>
    </row>
    <row r="99">
      <c r="A99" s="9" t="s">
        <v>4</v>
      </c>
      <c r="B99" s="9" t="s">
        <v>5</v>
      </c>
      <c r="C99" s="9" t="s">
        <v>6</v>
      </c>
      <c r="D99" s="9" t="s">
        <v>7</v>
      </c>
      <c r="E99" s="9" t="s">
        <v>8</v>
      </c>
      <c r="F99" s="9" t="s">
        <v>9</v>
      </c>
    </row>
    <row r="100">
      <c r="A100" s="13">
        <v>1.0</v>
      </c>
      <c r="B100" s="54" t="s">
        <v>117</v>
      </c>
      <c r="C100" s="55">
        <v>46082.0</v>
      </c>
      <c r="D100" s="22">
        <v>582.96</v>
      </c>
      <c r="E100" s="56"/>
      <c r="F100" s="28"/>
    </row>
    <row r="101">
      <c r="A101" s="30" t="s">
        <v>113</v>
      </c>
      <c r="B101" s="31"/>
      <c r="C101" s="32"/>
      <c r="D101" s="24">
        <f>round(D100*10%,2)</f>
        <v>58.3</v>
      </c>
      <c r="E101" s="57"/>
      <c r="F101" s="28"/>
    </row>
    <row r="102">
      <c r="A102" s="30" t="s">
        <v>106</v>
      </c>
      <c r="B102" s="31"/>
      <c r="C102" s="32"/>
      <c r="D102" s="24">
        <f>round(D100*10%,2)</f>
        <v>58.3</v>
      </c>
      <c r="E102" s="57"/>
      <c r="F102" s="28"/>
    </row>
    <row r="103">
      <c r="A103" s="33" t="s">
        <v>9</v>
      </c>
      <c r="B103" s="31"/>
      <c r="C103" s="32"/>
      <c r="D103" s="39">
        <f>D100-D101+D102</f>
        <v>582.96</v>
      </c>
      <c r="E103" s="90">
        <v>26357.0</v>
      </c>
      <c r="F103" s="41">
        <f>round(D103*E103,0)</f>
        <v>15365077</v>
      </c>
    </row>
    <row r="104">
      <c r="A104" s="33" t="s">
        <v>26</v>
      </c>
      <c r="B104" s="31"/>
      <c r="C104" s="32"/>
      <c r="D104" s="39"/>
      <c r="E104" s="90"/>
      <c r="F104" s="41">
        <f>round(F103*10%,0)</f>
        <v>1536508</v>
      </c>
    </row>
    <row r="105">
      <c r="A105" s="33" t="s">
        <v>16</v>
      </c>
      <c r="B105" s="31"/>
      <c r="C105" s="32"/>
      <c r="D105" s="39"/>
      <c r="E105" s="90"/>
      <c r="F105" s="41">
        <f>F103+F104</f>
        <v>16901585</v>
      </c>
    </row>
    <row r="110">
      <c r="A110" s="52" t="s">
        <v>116</v>
      </c>
    </row>
    <row r="111">
      <c r="A111" s="53"/>
      <c r="B111" s="53"/>
      <c r="C111" s="53"/>
      <c r="D111" s="53"/>
      <c r="E111" s="53"/>
      <c r="F111" s="53"/>
    </row>
    <row r="112">
      <c r="A112" s="9" t="s">
        <v>4</v>
      </c>
      <c r="B112" s="9" t="s">
        <v>5</v>
      </c>
      <c r="C112" s="9" t="s">
        <v>6</v>
      </c>
      <c r="D112" s="9" t="s">
        <v>7</v>
      </c>
      <c r="E112" s="9" t="s">
        <v>8</v>
      </c>
      <c r="F112" s="9" t="s">
        <v>9</v>
      </c>
    </row>
    <row r="113">
      <c r="A113" s="13">
        <v>1.0</v>
      </c>
      <c r="B113" s="54" t="s">
        <v>117</v>
      </c>
      <c r="C113" s="55">
        <v>46113.0</v>
      </c>
      <c r="D113" s="22">
        <v>568.92</v>
      </c>
      <c r="E113" s="56"/>
      <c r="F113" s="28"/>
    </row>
    <row r="114">
      <c r="A114" s="30" t="s">
        <v>113</v>
      </c>
      <c r="B114" s="31"/>
      <c r="C114" s="32"/>
      <c r="D114" s="24">
        <f>round(D113*10%,2)</f>
        <v>56.89</v>
      </c>
      <c r="E114" s="57"/>
      <c r="F114" s="28"/>
    </row>
    <row r="115">
      <c r="A115" s="30" t="s">
        <v>106</v>
      </c>
      <c r="B115" s="31"/>
      <c r="C115" s="32"/>
      <c r="D115" s="24">
        <f>round(D113*10%,2)</f>
        <v>56.89</v>
      </c>
      <c r="E115" s="57"/>
      <c r="F115" s="28"/>
    </row>
    <row r="116">
      <c r="A116" s="33" t="s">
        <v>9</v>
      </c>
      <c r="B116" s="31"/>
      <c r="C116" s="32"/>
      <c r="D116" s="39">
        <f>D113-D114+D115</f>
        <v>568.92</v>
      </c>
      <c r="E116" s="90">
        <v>26368.0</v>
      </c>
      <c r="F116" s="41">
        <f>round(D116*E116,0)</f>
        <v>15001283</v>
      </c>
    </row>
    <row r="117">
      <c r="A117" s="33" t="s">
        <v>26</v>
      </c>
      <c r="B117" s="31"/>
      <c r="C117" s="32"/>
      <c r="D117" s="39"/>
      <c r="E117" s="90"/>
      <c r="F117" s="41">
        <f>round(F116*10%,0)</f>
        <v>1500128</v>
      </c>
    </row>
    <row r="118">
      <c r="A118" s="33" t="s">
        <v>16</v>
      </c>
      <c r="B118" s="31"/>
      <c r="C118" s="32"/>
      <c r="D118" s="39"/>
      <c r="E118" s="90"/>
      <c r="F118" s="41">
        <f>F116+F117</f>
        <v>16501411</v>
      </c>
    </row>
    <row r="124">
      <c r="A124" s="52" t="s">
        <v>116</v>
      </c>
    </row>
    <row r="125">
      <c r="A125" s="53"/>
      <c r="B125" s="53"/>
      <c r="C125" s="53"/>
      <c r="D125" s="53"/>
      <c r="E125" s="53"/>
      <c r="F125" s="53"/>
    </row>
    <row r="126">
      <c r="A126" s="9" t="s">
        <v>4</v>
      </c>
      <c r="B126" s="9" t="s">
        <v>5</v>
      </c>
      <c r="C126" s="9" t="s">
        <v>6</v>
      </c>
      <c r="D126" s="9" t="s">
        <v>7</v>
      </c>
      <c r="E126" s="9" t="s">
        <v>8</v>
      </c>
      <c r="F126" s="9" t="s">
        <v>9</v>
      </c>
    </row>
    <row r="127">
      <c r="A127" s="13">
        <v>1.0</v>
      </c>
      <c r="B127" s="54" t="s">
        <v>117</v>
      </c>
      <c r="C127" s="55">
        <v>46143.0</v>
      </c>
      <c r="D127" s="22">
        <v>554.16</v>
      </c>
      <c r="E127" s="56"/>
      <c r="F127" s="28"/>
    </row>
    <row r="128">
      <c r="A128" s="30" t="s">
        <v>113</v>
      </c>
      <c r="B128" s="31"/>
      <c r="C128" s="32"/>
      <c r="D128" s="24">
        <f>round(D127*10%,2)</f>
        <v>55.42</v>
      </c>
      <c r="E128" s="57"/>
      <c r="F128" s="28"/>
    </row>
    <row r="129">
      <c r="A129" s="30" t="s">
        <v>106</v>
      </c>
      <c r="B129" s="31"/>
      <c r="C129" s="32"/>
      <c r="D129" s="24">
        <f>round(D127*10%,2)</f>
        <v>55.42</v>
      </c>
      <c r="E129" s="57"/>
      <c r="F129" s="28"/>
    </row>
    <row r="130">
      <c r="A130" s="33" t="s">
        <v>9</v>
      </c>
      <c r="B130" s="31"/>
      <c r="C130" s="32"/>
      <c r="D130" s="39">
        <f>D127-D128+D129</f>
        <v>554.16</v>
      </c>
      <c r="E130" s="90">
        <v>26395.0</v>
      </c>
      <c r="F130" s="41">
        <f>round(D130*E130,0)</f>
        <v>14627053</v>
      </c>
    </row>
    <row r="131">
      <c r="A131" s="33" t="s">
        <v>26</v>
      </c>
      <c r="B131" s="31"/>
      <c r="C131" s="32"/>
      <c r="D131" s="39"/>
      <c r="E131" s="90"/>
      <c r="F131" s="41">
        <f>round(F130*10%,0)</f>
        <v>1462705</v>
      </c>
    </row>
    <row r="132">
      <c r="A132" s="33" t="s">
        <v>16</v>
      </c>
      <c r="B132" s="31"/>
      <c r="C132" s="32"/>
      <c r="D132" s="39"/>
      <c r="E132" s="90"/>
      <c r="F132" s="41">
        <f>F130+F131</f>
        <v>16089758</v>
      </c>
    </row>
    <row r="138">
      <c r="A138" s="52" t="s">
        <v>116</v>
      </c>
    </row>
    <row r="139">
      <c r="A139" s="53"/>
      <c r="B139" s="53"/>
      <c r="C139" s="53"/>
      <c r="D139" s="53"/>
      <c r="E139" s="53"/>
      <c r="F139" s="53"/>
    </row>
    <row r="140">
      <c r="A140" s="9" t="s">
        <v>4</v>
      </c>
      <c r="B140" s="9" t="s">
        <v>5</v>
      </c>
      <c r="C140" s="9" t="s">
        <v>6</v>
      </c>
      <c r="D140" s="9" t="s">
        <v>7</v>
      </c>
      <c r="E140" s="9" t="s">
        <v>8</v>
      </c>
      <c r="F140" s="9" t="s">
        <v>9</v>
      </c>
    </row>
    <row r="141">
      <c r="A141" s="13">
        <v>1.0</v>
      </c>
      <c r="B141" s="54" t="s">
        <v>117</v>
      </c>
      <c r="C141" s="55">
        <v>46174.0</v>
      </c>
      <c r="D141" s="22">
        <v>533.32</v>
      </c>
      <c r="E141" s="56"/>
      <c r="F141" s="28"/>
    </row>
    <row r="142">
      <c r="A142" s="30" t="s">
        <v>113</v>
      </c>
      <c r="B142" s="31"/>
      <c r="C142" s="32"/>
      <c r="D142" s="24">
        <f>round(D141*10%,2)</f>
        <v>53.33</v>
      </c>
      <c r="E142" s="57"/>
      <c r="F142" s="28"/>
    </row>
    <row r="143">
      <c r="A143" s="30" t="s">
        <v>106</v>
      </c>
      <c r="B143" s="31"/>
      <c r="C143" s="32"/>
      <c r="D143" s="24">
        <f>round(D141*10%,2)</f>
        <v>53.33</v>
      </c>
      <c r="E143" s="57"/>
      <c r="F143" s="28"/>
    </row>
    <row r="144">
      <c r="A144" s="33" t="s">
        <v>9</v>
      </c>
      <c r="B144" s="31"/>
      <c r="C144" s="32"/>
      <c r="D144" s="39">
        <f>D141-D142+D143</f>
        <v>533.32</v>
      </c>
      <c r="E144" s="90">
        <v>26466.0</v>
      </c>
      <c r="F144" s="41">
        <f>round(D144*E144,0)</f>
        <v>14114847</v>
      </c>
    </row>
    <row r="145">
      <c r="A145" s="33" t="s">
        <v>26</v>
      </c>
      <c r="B145" s="31"/>
      <c r="C145" s="32"/>
      <c r="D145" s="39"/>
      <c r="E145" s="90"/>
      <c r="F145" s="41">
        <f>round(F144*10%,0)</f>
        <v>1411485</v>
      </c>
    </row>
    <row r="146">
      <c r="A146" s="33" t="s">
        <v>16</v>
      </c>
      <c r="B146" s="31"/>
      <c r="C146" s="32"/>
      <c r="D146" s="39"/>
      <c r="E146" s="90"/>
      <c r="F146" s="41">
        <f>F144+F145</f>
        <v>15526332</v>
      </c>
    </row>
    <row r="152">
      <c r="A152" s="52" t="s">
        <v>116</v>
      </c>
    </row>
    <row r="153">
      <c r="A153" s="53"/>
      <c r="B153" s="53"/>
      <c r="C153" s="53"/>
      <c r="D153" s="53"/>
      <c r="E153" s="53"/>
      <c r="F153" s="53"/>
    </row>
    <row r="154">
      <c r="A154" s="9" t="s">
        <v>4</v>
      </c>
      <c r="B154" s="9" t="s">
        <v>5</v>
      </c>
      <c r="C154" s="9" t="s">
        <v>6</v>
      </c>
      <c r="D154" s="9" t="s">
        <v>7</v>
      </c>
      <c r="E154" s="9" t="s">
        <v>8</v>
      </c>
      <c r="F154" s="9" t="s">
        <v>9</v>
      </c>
    </row>
    <row r="155">
      <c r="A155" s="13">
        <v>1.0</v>
      </c>
      <c r="B155" s="54" t="s">
        <v>117</v>
      </c>
      <c r="C155" s="55">
        <v>46204.0</v>
      </c>
      <c r="D155" s="22">
        <v>495.75</v>
      </c>
      <c r="E155" s="56"/>
      <c r="F155" s="28"/>
    </row>
    <row r="156">
      <c r="A156" s="30" t="s">
        <v>113</v>
      </c>
      <c r="B156" s="31"/>
      <c r="C156" s="32"/>
      <c r="D156" s="24">
        <f>round(D155*10%,2)</f>
        <v>49.58</v>
      </c>
      <c r="E156" s="57"/>
      <c r="F156" s="28"/>
    </row>
    <row r="157">
      <c r="A157" s="30" t="s">
        <v>106</v>
      </c>
      <c r="B157" s="31"/>
      <c r="C157" s="32"/>
      <c r="D157" s="24">
        <f>round(D155*10%,2)</f>
        <v>49.58</v>
      </c>
      <c r="E157" s="57"/>
      <c r="F157" s="28"/>
    </row>
    <row r="158">
      <c r="A158" s="33" t="s">
        <v>9</v>
      </c>
      <c r="B158" s="31"/>
      <c r="C158" s="32"/>
      <c r="D158" s="39">
        <f>D155-D156+D157</f>
        <v>495.75</v>
      </c>
      <c r="E158" s="90">
        <v>26475.0</v>
      </c>
      <c r="F158" s="41">
        <f>round(D158*E158,0)</f>
        <v>13124981</v>
      </c>
    </row>
    <row r="159">
      <c r="A159" s="33" t="s">
        <v>26</v>
      </c>
      <c r="B159" s="31"/>
      <c r="C159" s="32"/>
      <c r="D159" s="39"/>
      <c r="E159" s="90"/>
      <c r="F159" s="41">
        <f>round(F158*10%,0)</f>
        <v>1312498</v>
      </c>
    </row>
    <row r="160">
      <c r="A160" s="33" t="s">
        <v>16</v>
      </c>
      <c r="B160" s="31"/>
      <c r="C160" s="32"/>
      <c r="D160" s="39"/>
      <c r="E160" s="90"/>
      <c r="F160" s="41">
        <f>F158+F159</f>
        <v>14437479</v>
      </c>
    </row>
  </sheetData>
  <mergeCells count="72">
    <mergeCell ref="A114:C114"/>
    <mergeCell ref="A115:C115"/>
    <mergeCell ref="A116:C116"/>
    <mergeCell ref="A117:C117"/>
    <mergeCell ref="A118:C118"/>
    <mergeCell ref="A124:F124"/>
    <mergeCell ref="A128:C128"/>
    <mergeCell ref="A129:C129"/>
    <mergeCell ref="A130:C130"/>
    <mergeCell ref="A131:C131"/>
    <mergeCell ref="A132:C132"/>
    <mergeCell ref="A138:F138"/>
    <mergeCell ref="A142:C142"/>
    <mergeCell ref="A143:C143"/>
    <mergeCell ref="A159:C159"/>
    <mergeCell ref="A160:C160"/>
    <mergeCell ref="A144:C144"/>
    <mergeCell ref="A145:C145"/>
    <mergeCell ref="A146:C146"/>
    <mergeCell ref="A152:F152"/>
    <mergeCell ref="A156:C156"/>
    <mergeCell ref="A157:C157"/>
    <mergeCell ref="A158:C158"/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29:F29"/>
    <mergeCell ref="A33:C33"/>
    <mergeCell ref="A34:C34"/>
    <mergeCell ref="A35:C35"/>
    <mergeCell ref="A36:C36"/>
    <mergeCell ref="A37:C37"/>
    <mergeCell ref="A42:F42"/>
    <mergeCell ref="A46:C46"/>
    <mergeCell ref="A47:C47"/>
    <mergeCell ref="A48:C48"/>
    <mergeCell ref="A49:C49"/>
    <mergeCell ref="A50:C50"/>
    <mergeCell ref="A56:F56"/>
    <mergeCell ref="A60:C60"/>
    <mergeCell ref="A61:C61"/>
    <mergeCell ref="A62:C62"/>
    <mergeCell ref="A63:C63"/>
    <mergeCell ref="A64:C64"/>
    <mergeCell ref="A70:F70"/>
    <mergeCell ref="A74:C74"/>
    <mergeCell ref="A75:C75"/>
    <mergeCell ref="A76:C76"/>
    <mergeCell ref="A77:C77"/>
    <mergeCell ref="A78:C78"/>
    <mergeCell ref="A84:F84"/>
    <mergeCell ref="A88:C88"/>
    <mergeCell ref="A89:C89"/>
    <mergeCell ref="A90:C90"/>
    <mergeCell ref="A91:C91"/>
    <mergeCell ref="A92:C92"/>
    <mergeCell ref="A97:F97"/>
    <mergeCell ref="A101:C101"/>
    <mergeCell ref="A102:C102"/>
    <mergeCell ref="A103:C103"/>
    <mergeCell ref="A104:C104"/>
    <mergeCell ref="A105:C105"/>
    <mergeCell ref="A110:F110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50.88"/>
    <col customWidth="1" min="3" max="3" width="10.88"/>
    <col customWidth="1" min="4" max="4" width="20.5"/>
    <col customWidth="1" min="5" max="5" width="11.5"/>
    <col customWidth="1" min="6" max="6" width="17.13"/>
  </cols>
  <sheetData>
    <row r="1">
      <c r="A1" s="52" t="s">
        <v>118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121</v>
      </c>
      <c r="C4" s="55">
        <v>45870.0</v>
      </c>
      <c r="D4" s="22">
        <v>27.9</v>
      </c>
      <c r="E4" s="56"/>
      <c r="F4" s="28"/>
    </row>
    <row r="5">
      <c r="A5" s="30" t="s">
        <v>113</v>
      </c>
      <c r="B5" s="31"/>
      <c r="C5" s="32"/>
      <c r="D5" s="24">
        <f>round(D4*10%,2)</f>
        <v>2.79</v>
      </c>
      <c r="E5" s="57"/>
      <c r="F5" s="28"/>
    </row>
    <row r="6">
      <c r="A6" s="30" t="s">
        <v>106</v>
      </c>
      <c r="B6" s="31"/>
      <c r="C6" s="32"/>
      <c r="D6" s="24">
        <f>round(D4*10%,2)</f>
        <v>2.79</v>
      </c>
      <c r="E6" s="57"/>
      <c r="F6" s="28"/>
    </row>
    <row r="7">
      <c r="A7" s="33" t="s">
        <v>9</v>
      </c>
      <c r="B7" s="31"/>
      <c r="C7" s="32"/>
      <c r="D7" s="39">
        <f>D4-D5+D6</f>
        <v>27.9</v>
      </c>
      <c r="E7" s="90">
        <v>26502.0</v>
      </c>
      <c r="F7" s="41">
        <f>round(D7*E7,0)</f>
        <v>739406</v>
      </c>
    </row>
    <row r="8">
      <c r="A8" s="33" t="s">
        <v>26</v>
      </c>
      <c r="B8" s="31"/>
      <c r="C8" s="32"/>
      <c r="D8" s="39"/>
      <c r="E8" s="90"/>
      <c r="F8" s="41">
        <f>round(F7*10%,0)</f>
        <v>73941</v>
      </c>
    </row>
    <row r="9">
      <c r="A9" s="33" t="s">
        <v>16</v>
      </c>
      <c r="B9" s="31"/>
      <c r="C9" s="32"/>
      <c r="D9" s="39"/>
      <c r="E9" s="90"/>
      <c r="F9" s="41">
        <f>F7+F8</f>
        <v>813347</v>
      </c>
    </row>
    <row r="14">
      <c r="A14" s="52" t="s">
        <v>118</v>
      </c>
    </row>
    <row r="15">
      <c r="A15" s="53"/>
      <c r="B15" s="53"/>
      <c r="C15" s="53"/>
      <c r="D15" s="53"/>
      <c r="E15" s="53"/>
      <c r="F15" s="53"/>
    </row>
    <row r="16">
      <c r="A16" s="9" t="s">
        <v>4</v>
      </c>
      <c r="B16" s="9" t="s">
        <v>5</v>
      </c>
      <c r="C16" s="9" t="s">
        <v>6</v>
      </c>
      <c r="D16" s="9" t="s">
        <v>7</v>
      </c>
      <c r="E16" s="9" t="s">
        <v>8</v>
      </c>
      <c r="F16" s="9" t="s">
        <v>9</v>
      </c>
    </row>
    <row r="17">
      <c r="A17" s="13">
        <v>1.0</v>
      </c>
      <c r="B17" s="54" t="s">
        <v>121</v>
      </c>
      <c r="C17" s="55">
        <v>45931.0</v>
      </c>
      <c r="D17" s="22">
        <v>15.17</v>
      </c>
      <c r="E17" s="56"/>
      <c r="F17" s="28"/>
    </row>
    <row r="18">
      <c r="A18" s="30" t="s">
        <v>113</v>
      </c>
      <c r="B18" s="31"/>
      <c r="C18" s="32"/>
      <c r="D18" s="24">
        <f>round(D17*10%,2)</f>
        <v>1.52</v>
      </c>
      <c r="E18" s="57"/>
      <c r="F18" s="28"/>
    </row>
    <row r="19">
      <c r="A19" s="30" t="s">
        <v>106</v>
      </c>
      <c r="B19" s="31"/>
      <c r="C19" s="32"/>
      <c r="D19" s="24">
        <f>round(D17*10%,2)</f>
        <v>1.52</v>
      </c>
      <c r="E19" s="57"/>
      <c r="F19" s="28"/>
    </row>
    <row r="20">
      <c r="A20" s="33" t="s">
        <v>9</v>
      </c>
      <c r="B20" s="31"/>
      <c r="C20" s="32"/>
      <c r="D20" s="39">
        <f>D17-D18+D19</f>
        <v>15.17</v>
      </c>
      <c r="E20" s="90">
        <v>26347.0</v>
      </c>
      <c r="F20" s="41">
        <f>round(D20*E20,0)</f>
        <v>399684</v>
      </c>
    </row>
    <row r="21">
      <c r="A21" s="33" t="s">
        <v>26</v>
      </c>
      <c r="B21" s="31"/>
      <c r="C21" s="32"/>
      <c r="D21" s="39"/>
      <c r="E21" s="90"/>
      <c r="F21" s="41">
        <f>round(F20*10%,0)</f>
        <v>39968</v>
      </c>
    </row>
    <row r="22">
      <c r="A22" s="33" t="s">
        <v>16</v>
      </c>
      <c r="B22" s="31"/>
      <c r="C22" s="32"/>
      <c r="D22" s="39"/>
      <c r="E22" s="90"/>
      <c r="F22" s="41">
        <f>F20+F21</f>
        <v>439652</v>
      </c>
    </row>
    <row r="27">
      <c r="A27" s="52" t="s">
        <v>118</v>
      </c>
    </row>
    <row r="28">
      <c r="A28" s="53"/>
      <c r="B28" s="53"/>
      <c r="C28" s="53"/>
      <c r="D28" s="53"/>
      <c r="E28" s="53"/>
      <c r="F28" s="53"/>
    </row>
    <row r="29">
      <c r="A29" s="9" t="s">
        <v>4</v>
      </c>
      <c r="B29" s="9" t="s">
        <v>5</v>
      </c>
      <c r="C29" s="9" t="s">
        <v>6</v>
      </c>
      <c r="D29" s="9" t="s">
        <v>7</v>
      </c>
      <c r="E29" s="9" t="s">
        <v>8</v>
      </c>
      <c r="F29" s="9" t="s">
        <v>9</v>
      </c>
    </row>
    <row r="30">
      <c r="A30" s="13">
        <v>1.0</v>
      </c>
      <c r="B30" s="54" t="s">
        <v>121</v>
      </c>
      <c r="C30" s="55">
        <v>45962.0</v>
      </c>
      <c r="D30" s="22">
        <v>57.55</v>
      </c>
      <c r="E30" s="56"/>
      <c r="F30" s="28"/>
    </row>
    <row r="31">
      <c r="A31" s="30" t="s">
        <v>113</v>
      </c>
      <c r="B31" s="31"/>
      <c r="C31" s="32"/>
      <c r="D31" s="24">
        <f>round(D30*10%,2)</f>
        <v>5.76</v>
      </c>
      <c r="E31" s="57"/>
      <c r="F31" s="28"/>
    </row>
    <row r="32">
      <c r="A32" s="30" t="s">
        <v>106</v>
      </c>
      <c r="B32" s="31"/>
      <c r="C32" s="32"/>
      <c r="D32" s="24">
        <f>round(D30*10%,2)</f>
        <v>5.76</v>
      </c>
      <c r="E32" s="57"/>
      <c r="F32" s="28"/>
    </row>
    <row r="33">
      <c r="A33" s="33" t="s">
        <v>9</v>
      </c>
      <c r="B33" s="31"/>
      <c r="C33" s="32"/>
      <c r="D33" s="39">
        <f>D30-D31+D32</f>
        <v>57.55</v>
      </c>
      <c r="E33" s="90">
        <v>26412.0</v>
      </c>
      <c r="F33" s="41">
        <f>round(D33*E33,0)</f>
        <v>1520011</v>
      </c>
    </row>
    <row r="34">
      <c r="A34" s="33" t="s">
        <v>26</v>
      </c>
      <c r="B34" s="31"/>
      <c r="C34" s="32"/>
      <c r="D34" s="39"/>
      <c r="E34" s="90"/>
      <c r="F34" s="41">
        <f>round(F33*10%,0)</f>
        <v>152001</v>
      </c>
    </row>
    <row r="35">
      <c r="A35" s="33" t="s">
        <v>16</v>
      </c>
      <c r="B35" s="31"/>
      <c r="C35" s="32"/>
      <c r="D35" s="39"/>
      <c r="E35" s="90"/>
      <c r="F35" s="41">
        <f>F33+F34</f>
        <v>1672012</v>
      </c>
    </row>
    <row r="41">
      <c r="A41" s="52" t="s">
        <v>118</v>
      </c>
    </row>
    <row r="42">
      <c r="A42" s="53"/>
      <c r="B42" s="53"/>
      <c r="C42" s="53"/>
      <c r="D42" s="53"/>
      <c r="E42" s="53"/>
      <c r="F42" s="53"/>
    </row>
    <row r="43">
      <c r="A43" s="9" t="s">
        <v>4</v>
      </c>
      <c r="B43" s="9" t="s">
        <v>5</v>
      </c>
      <c r="C43" s="9" t="s">
        <v>6</v>
      </c>
      <c r="D43" s="9" t="s">
        <v>7</v>
      </c>
      <c r="E43" s="9" t="s">
        <v>8</v>
      </c>
      <c r="F43" s="9" t="s">
        <v>9</v>
      </c>
    </row>
    <row r="44">
      <c r="A44" s="13">
        <v>1.0</v>
      </c>
      <c r="B44" s="54" t="s">
        <v>121</v>
      </c>
      <c r="C44" s="55">
        <v>45992.0</v>
      </c>
      <c r="D44" s="22">
        <v>59.0</v>
      </c>
      <c r="E44" s="56"/>
      <c r="F44" s="28"/>
    </row>
    <row r="45">
      <c r="A45" s="30" t="s">
        <v>113</v>
      </c>
      <c r="B45" s="31"/>
      <c r="C45" s="32"/>
      <c r="D45" s="24">
        <f>round(D44*10%,2)</f>
        <v>5.9</v>
      </c>
      <c r="E45" s="57"/>
      <c r="F45" s="28"/>
    </row>
    <row r="46">
      <c r="A46" s="30" t="s">
        <v>106</v>
      </c>
      <c r="B46" s="31"/>
      <c r="C46" s="32"/>
      <c r="D46" s="24">
        <f>round(D44*10%,2)</f>
        <v>5.9</v>
      </c>
      <c r="E46" s="57"/>
      <c r="F46" s="28"/>
    </row>
    <row r="47">
      <c r="A47" s="33" t="s">
        <v>9</v>
      </c>
      <c r="B47" s="31"/>
      <c r="C47" s="32"/>
      <c r="D47" s="39">
        <f>D44-D45+D46</f>
        <v>59</v>
      </c>
      <c r="E47" s="90">
        <v>26377.0</v>
      </c>
      <c r="F47" s="41">
        <f>round(D47*E47,0)</f>
        <v>1556243</v>
      </c>
    </row>
    <row r="48">
      <c r="A48" s="33" t="s">
        <v>26</v>
      </c>
      <c r="B48" s="31"/>
      <c r="C48" s="32"/>
      <c r="D48" s="39"/>
      <c r="E48" s="90"/>
      <c r="F48" s="41">
        <f>round(F47*10%,0)</f>
        <v>155624</v>
      </c>
    </row>
    <row r="49">
      <c r="A49" s="33" t="s">
        <v>16</v>
      </c>
      <c r="B49" s="31"/>
      <c r="C49" s="32"/>
      <c r="D49" s="39"/>
      <c r="E49" s="90"/>
      <c r="F49" s="41">
        <f>F47+F48</f>
        <v>1711867</v>
      </c>
    </row>
    <row r="55">
      <c r="A55" s="52" t="s">
        <v>118</v>
      </c>
    </row>
    <row r="56">
      <c r="A56" s="53"/>
      <c r="B56" s="53"/>
      <c r="C56" s="53"/>
      <c r="D56" s="53"/>
      <c r="E56" s="53"/>
      <c r="F56" s="53"/>
    </row>
    <row r="57">
      <c r="A57" s="9" t="s">
        <v>4</v>
      </c>
      <c r="B57" s="9" t="s">
        <v>5</v>
      </c>
      <c r="C57" s="9" t="s">
        <v>6</v>
      </c>
      <c r="D57" s="9" t="s">
        <v>7</v>
      </c>
      <c r="E57" s="9" t="s">
        <v>8</v>
      </c>
      <c r="F57" s="9" t="s">
        <v>9</v>
      </c>
    </row>
    <row r="58">
      <c r="A58" s="13">
        <v>1.0</v>
      </c>
      <c r="B58" s="54" t="s">
        <v>121</v>
      </c>
      <c r="C58" s="55">
        <v>46023.0</v>
      </c>
      <c r="D58" s="22">
        <v>59.0</v>
      </c>
      <c r="E58" s="56"/>
      <c r="F58" s="28"/>
    </row>
    <row r="59">
      <c r="A59" s="30" t="s">
        <v>113</v>
      </c>
      <c r="B59" s="31"/>
      <c r="C59" s="32"/>
      <c r="D59" s="24">
        <f>round(D58*10%,2)</f>
        <v>5.9</v>
      </c>
      <c r="E59" s="57"/>
      <c r="F59" s="28"/>
    </row>
    <row r="60">
      <c r="A60" s="30" t="s">
        <v>106</v>
      </c>
      <c r="B60" s="31"/>
      <c r="C60" s="32"/>
      <c r="D60" s="24">
        <f>round(D58*10%,2)</f>
        <v>5.9</v>
      </c>
      <c r="E60" s="57"/>
      <c r="F60" s="28"/>
    </row>
    <row r="61">
      <c r="A61" s="33" t="s">
        <v>9</v>
      </c>
      <c r="B61" s="31"/>
      <c r="C61" s="32"/>
      <c r="D61" s="39">
        <f>D58-D59+D60</f>
        <v>59</v>
      </c>
      <c r="E61" s="90">
        <v>26145.0</v>
      </c>
      <c r="F61" s="41">
        <f>round(D61*E61,0)</f>
        <v>1542555</v>
      </c>
    </row>
    <row r="62">
      <c r="A62" s="33" t="s">
        <v>26</v>
      </c>
      <c r="B62" s="31"/>
      <c r="C62" s="32"/>
      <c r="D62" s="39"/>
      <c r="E62" s="90"/>
      <c r="F62" s="41">
        <f>round(F61*10%,0)</f>
        <v>154256</v>
      </c>
    </row>
    <row r="63">
      <c r="A63" s="33" t="s">
        <v>16</v>
      </c>
      <c r="B63" s="31"/>
      <c r="C63" s="32"/>
      <c r="D63" s="39"/>
      <c r="E63" s="90"/>
      <c r="F63" s="41">
        <f>F61+F62</f>
        <v>1696811</v>
      </c>
    </row>
    <row r="69">
      <c r="A69" s="52" t="s">
        <v>118</v>
      </c>
    </row>
    <row r="70">
      <c r="A70" s="53"/>
      <c r="B70" s="53"/>
      <c r="C70" s="53"/>
      <c r="D70" s="53"/>
      <c r="E70" s="53"/>
      <c r="F70" s="53"/>
    </row>
    <row r="71">
      <c r="A71" s="9" t="s">
        <v>4</v>
      </c>
      <c r="B71" s="9" t="s">
        <v>5</v>
      </c>
      <c r="C71" s="9" t="s">
        <v>6</v>
      </c>
      <c r="D71" s="9" t="s">
        <v>7</v>
      </c>
      <c r="E71" s="9" t="s">
        <v>8</v>
      </c>
      <c r="F71" s="9" t="s">
        <v>9</v>
      </c>
    </row>
    <row r="72">
      <c r="A72" s="13">
        <v>1.0</v>
      </c>
      <c r="B72" s="54" t="s">
        <v>121</v>
      </c>
      <c r="C72" s="55">
        <v>46054.0</v>
      </c>
      <c r="D72" s="22">
        <v>48.1</v>
      </c>
      <c r="E72" s="56"/>
      <c r="F72" s="28"/>
    </row>
    <row r="73">
      <c r="A73" s="30" t="s">
        <v>113</v>
      </c>
      <c r="B73" s="31"/>
      <c r="C73" s="32"/>
      <c r="D73" s="24">
        <f>round(D72*10%,2)</f>
        <v>4.81</v>
      </c>
      <c r="E73" s="57"/>
      <c r="F73" s="28"/>
    </row>
    <row r="74">
      <c r="A74" s="30" t="s">
        <v>106</v>
      </c>
      <c r="B74" s="31"/>
      <c r="C74" s="32"/>
      <c r="D74" s="24">
        <f>round(D72*10%,2)</f>
        <v>4.81</v>
      </c>
      <c r="E74" s="57"/>
      <c r="F74" s="28"/>
    </row>
    <row r="75">
      <c r="A75" s="33" t="s">
        <v>9</v>
      </c>
      <c r="B75" s="31"/>
      <c r="C75" s="32"/>
      <c r="D75" s="39">
        <f>D72-D73+D74</f>
        <v>48.1</v>
      </c>
      <c r="E75" s="90">
        <v>26240.0</v>
      </c>
      <c r="F75" s="41">
        <f>round(D75*E75,0)</f>
        <v>1262144</v>
      </c>
    </row>
    <row r="76">
      <c r="A76" s="33" t="s">
        <v>26</v>
      </c>
      <c r="B76" s="31"/>
      <c r="C76" s="32"/>
      <c r="D76" s="39"/>
      <c r="E76" s="90"/>
      <c r="F76" s="41">
        <f>round(F75*10%,0)</f>
        <v>126214</v>
      </c>
    </row>
    <row r="77">
      <c r="A77" s="33" t="s">
        <v>16</v>
      </c>
      <c r="B77" s="31"/>
      <c r="C77" s="32"/>
      <c r="D77" s="39"/>
      <c r="E77" s="90"/>
      <c r="F77" s="41">
        <f>F75+F76</f>
        <v>1388358</v>
      </c>
    </row>
    <row r="83">
      <c r="A83" s="52" t="s">
        <v>118</v>
      </c>
    </row>
    <row r="84">
      <c r="A84" s="53"/>
      <c r="B84" s="53"/>
      <c r="C84" s="53"/>
      <c r="D84" s="53"/>
      <c r="E84" s="53"/>
      <c r="F84" s="53"/>
    </row>
    <row r="85">
      <c r="A85" s="9" t="s">
        <v>4</v>
      </c>
      <c r="B85" s="9" t="s">
        <v>5</v>
      </c>
      <c r="C85" s="9" t="s">
        <v>6</v>
      </c>
      <c r="D85" s="9" t="s">
        <v>7</v>
      </c>
      <c r="E85" s="9" t="s">
        <v>8</v>
      </c>
      <c r="F85" s="9" t="s">
        <v>9</v>
      </c>
    </row>
    <row r="86">
      <c r="A86" s="13">
        <v>1.0</v>
      </c>
      <c r="B86" s="54" t="s">
        <v>121</v>
      </c>
      <c r="C86" s="55">
        <v>46082.0</v>
      </c>
      <c r="D86" s="22">
        <v>48.0</v>
      </c>
      <c r="E86" s="56"/>
      <c r="F86" s="28"/>
    </row>
    <row r="87">
      <c r="A87" s="30" t="s">
        <v>113</v>
      </c>
      <c r="B87" s="31"/>
      <c r="C87" s="32"/>
      <c r="D87" s="24">
        <f>round(D86*10%,2)</f>
        <v>4.8</v>
      </c>
      <c r="E87" s="57"/>
      <c r="F87" s="28"/>
    </row>
    <row r="88">
      <c r="A88" s="30" t="s">
        <v>106</v>
      </c>
      <c r="B88" s="31"/>
      <c r="C88" s="32"/>
      <c r="D88" s="24">
        <f>round(D86*10%,2)</f>
        <v>4.8</v>
      </c>
      <c r="E88" s="57"/>
      <c r="F88" s="28"/>
    </row>
    <row r="89">
      <c r="A89" s="33" t="s">
        <v>9</v>
      </c>
      <c r="B89" s="31"/>
      <c r="C89" s="32"/>
      <c r="D89" s="39">
        <f>D86-D87+D88</f>
        <v>48</v>
      </c>
      <c r="E89" s="90">
        <v>26357.0</v>
      </c>
      <c r="F89" s="41">
        <f>round(D89*E89,0)</f>
        <v>1265136</v>
      </c>
    </row>
    <row r="90">
      <c r="A90" s="33" t="s">
        <v>26</v>
      </c>
      <c r="B90" s="31"/>
      <c r="C90" s="32"/>
      <c r="D90" s="39"/>
      <c r="E90" s="90"/>
      <c r="F90" s="41">
        <f>round(F89*10%,0)</f>
        <v>126514</v>
      </c>
    </row>
    <row r="91">
      <c r="A91" s="33" t="s">
        <v>16</v>
      </c>
      <c r="B91" s="31"/>
      <c r="C91" s="32"/>
      <c r="D91" s="39"/>
      <c r="E91" s="90"/>
      <c r="F91" s="41">
        <f>F89+F90</f>
        <v>1391650</v>
      </c>
    </row>
    <row r="97">
      <c r="A97" s="52" t="s">
        <v>118</v>
      </c>
    </row>
    <row r="98">
      <c r="A98" s="53"/>
      <c r="B98" s="53"/>
      <c r="C98" s="53"/>
      <c r="D98" s="53"/>
      <c r="E98" s="53"/>
      <c r="F98" s="53"/>
    </row>
    <row r="99">
      <c r="A99" s="9" t="s">
        <v>4</v>
      </c>
      <c r="B99" s="9" t="s">
        <v>5</v>
      </c>
      <c r="C99" s="9" t="s">
        <v>6</v>
      </c>
      <c r="D99" s="9" t="s">
        <v>7</v>
      </c>
      <c r="E99" s="9" t="s">
        <v>8</v>
      </c>
      <c r="F99" s="9" t="s">
        <v>9</v>
      </c>
    </row>
    <row r="100">
      <c r="A100" s="13">
        <v>1.0</v>
      </c>
      <c r="B100" s="54" t="s">
        <v>121</v>
      </c>
      <c r="C100" s="55">
        <v>46113.0</v>
      </c>
      <c r="D100" s="22">
        <v>60.34</v>
      </c>
      <c r="E100" s="56"/>
      <c r="F100" s="28"/>
    </row>
    <row r="101">
      <c r="A101" s="30" t="s">
        <v>113</v>
      </c>
      <c r="B101" s="31"/>
      <c r="C101" s="32"/>
      <c r="D101" s="24">
        <f>round(D100*10%,2)</f>
        <v>6.03</v>
      </c>
      <c r="E101" s="57"/>
      <c r="F101" s="28"/>
    </row>
    <row r="102">
      <c r="A102" s="30" t="s">
        <v>106</v>
      </c>
      <c r="B102" s="31"/>
      <c r="C102" s="32"/>
      <c r="D102" s="24">
        <f>round(D100*10%,2)</f>
        <v>6.03</v>
      </c>
      <c r="E102" s="57"/>
      <c r="F102" s="28"/>
    </row>
    <row r="103">
      <c r="A103" s="33" t="s">
        <v>9</v>
      </c>
      <c r="B103" s="31"/>
      <c r="C103" s="32"/>
      <c r="D103" s="39">
        <f>D100-D101+D102</f>
        <v>60.34</v>
      </c>
      <c r="E103" s="90">
        <v>26368.0</v>
      </c>
      <c r="F103" s="41">
        <f>round(D103*E103,0)</f>
        <v>1591045</v>
      </c>
    </row>
    <row r="104">
      <c r="A104" s="33" t="s">
        <v>26</v>
      </c>
      <c r="B104" s="31"/>
      <c r="C104" s="32"/>
      <c r="D104" s="39"/>
      <c r="E104" s="90"/>
      <c r="F104" s="41">
        <f>round(F103*10%,0)</f>
        <v>159105</v>
      </c>
    </row>
    <row r="105">
      <c r="A105" s="33" t="s">
        <v>16</v>
      </c>
      <c r="B105" s="31"/>
      <c r="C105" s="32"/>
      <c r="D105" s="39"/>
      <c r="E105" s="90"/>
      <c r="F105" s="41">
        <f>F103+F104</f>
        <v>1750150</v>
      </c>
    </row>
    <row r="111">
      <c r="A111" s="52" t="s">
        <v>118</v>
      </c>
    </row>
    <row r="112">
      <c r="A112" s="53"/>
      <c r="B112" s="53"/>
      <c r="C112" s="53"/>
      <c r="D112" s="53"/>
      <c r="E112" s="53"/>
      <c r="F112" s="53"/>
    </row>
    <row r="113">
      <c r="A113" s="9" t="s">
        <v>4</v>
      </c>
      <c r="B113" s="9" t="s">
        <v>5</v>
      </c>
      <c r="C113" s="9" t="s">
        <v>6</v>
      </c>
      <c r="D113" s="9" t="s">
        <v>7</v>
      </c>
      <c r="E113" s="9" t="s">
        <v>8</v>
      </c>
      <c r="F113" s="9" t="s">
        <v>9</v>
      </c>
    </row>
    <row r="114">
      <c r="A114" s="13">
        <v>1.0</v>
      </c>
      <c r="B114" s="54" t="s">
        <v>121</v>
      </c>
      <c r="C114" s="55">
        <v>46143.0</v>
      </c>
      <c r="D114" s="22">
        <v>61.0</v>
      </c>
      <c r="E114" s="56"/>
      <c r="F114" s="28"/>
    </row>
    <row r="115">
      <c r="A115" s="30" t="s">
        <v>113</v>
      </c>
      <c r="B115" s="31"/>
      <c r="C115" s="32"/>
      <c r="D115" s="24">
        <f>round(D114*10%,2)</f>
        <v>6.1</v>
      </c>
      <c r="E115" s="57"/>
      <c r="F115" s="28"/>
    </row>
    <row r="116">
      <c r="A116" s="30" t="s">
        <v>106</v>
      </c>
      <c r="B116" s="31"/>
      <c r="C116" s="32"/>
      <c r="D116" s="24">
        <f>round(D114*10%,2)</f>
        <v>6.1</v>
      </c>
      <c r="E116" s="57"/>
      <c r="F116" s="28"/>
    </row>
    <row r="117">
      <c r="A117" s="33" t="s">
        <v>9</v>
      </c>
      <c r="B117" s="31"/>
      <c r="C117" s="32"/>
      <c r="D117" s="39">
        <f>D114-D115+D116</f>
        <v>61</v>
      </c>
      <c r="E117" s="90">
        <v>26395.0</v>
      </c>
      <c r="F117" s="41">
        <f>round(D117*E117,0)</f>
        <v>1610095</v>
      </c>
    </row>
    <row r="118">
      <c r="A118" s="33" t="s">
        <v>26</v>
      </c>
      <c r="B118" s="31"/>
      <c r="C118" s="32"/>
      <c r="D118" s="39"/>
      <c r="E118" s="90"/>
      <c r="F118" s="41">
        <f>round(F117*10%,0)</f>
        <v>161010</v>
      </c>
    </row>
    <row r="119">
      <c r="A119" s="33" t="s">
        <v>16</v>
      </c>
      <c r="B119" s="31"/>
      <c r="C119" s="32"/>
      <c r="D119" s="39"/>
      <c r="E119" s="90"/>
      <c r="F119" s="41">
        <f>F117+F118</f>
        <v>1771105</v>
      </c>
    </row>
    <row r="125">
      <c r="A125" s="52" t="s">
        <v>118</v>
      </c>
    </row>
    <row r="126">
      <c r="A126" s="53"/>
      <c r="B126" s="53"/>
      <c r="C126" s="53"/>
      <c r="D126" s="53"/>
      <c r="E126" s="53"/>
      <c r="F126" s="53"/>
    </row>
    <row r="127">
      <c r="A127" s="9" t="s">
        <v>4</v>
      </c>
      <c r="B127" s="9" t="s">
        <v>5</v>
      </c>
      <c r="C127" s="9" t="s">
        <v>6</v>
      </c>
      <c r="D127" s="9" t="s">
        <v>7</v>
      </c>
      <c r="E127" s="9" t="s">
        <v>8</v>
      </c>
      <c r="F127" s="9" t="s">
        <v>9</v>
      </c>
    </row>
    <row r="128">
      <c r="A128" s="13">
        <v>1.0</v>
      </c>
      <c r="B128" s="54" t="s">
        <v>121</v>
      </c>
      <c r="C128" s="55">
        <v>46174.0</v>
      </c>
      <c r="D128" s="22">
        <v>61.0</v>
      </c>
      <c r="E128" s="56"/>
      <c r="F128" s="28"/>
    </row>
    <row r="129">
      <c r="A129" s="30" t="s">
        <v>113</v>
      </c>
      <c r="B129" s="31"/>
      <c r="C129" s="32"/>
      <c r="D129" s="24">
        <f>round(D128*10%,2)</f>
        <v>6.1</v>
      </c>
      <c r="E129" s="57"/>
      <c r="F129" s="28"/>
    </row>
    <row r="130">
      <c r="A130" s="30" t="s">
        <v>106</v>
      </c>
      <c r="B130" s="31"/>
      <c r="C130" s="32"/>
      <c r="D130" s="24">
        <f>round(D128*10%,2)</f>
        <v>6.1</v>
      </c>
      <c r="E130" s="57"/>
      <c r="F130" s="28"/>
    </row>
    <row r="131">
      <c r="A131" s="33" t="s">
        <v>9</v>
      </c>
      <c r="B131" s="31"/>
      <c r="C131" s="32"/>
      <c r="D131" s="39">
        <f>D128-D129+D130</f>
        <v>61</v>
      </c>
      <c r="E131" s="90">
        <v>26466.0</v>
      </c>
      <c r="F131" s="41">
        <f>round(D131*E131,0)</f>
        <v>1614426</v>
      </c>
    </row>
    <row r="132">
      <c r="A132" s="33" t="s">
        <v>26</v>
      </c>
      <c r="B132" s="31"/>
      <c r="C132" s="32"/>
      <c r="D132" s="39"/>
      <c r="E132" s="90"/>
      <c r="F132" s="41">
        <f>round(F131*10%,0)</f>
        <v>161443</v>
      </c>
    </row>
    <row r="133">
      <c r="A133" s="33" t="s">
        <v>16</v>
      </c>
      <c r="B133" s="31"/>
      <c r="C133" s="32"/>
      <c r="D133" s="39"/>
      <c r="E133" s="90"/>
      <c r="F133" s="41">
        <f>F131+F132</f>
        <v>1775869</v>
      </c>
    </row>
    <row r="139">
      <c r="A139" s="52" t="s">
        <v>118</v>
      </c>
    </row>
    <row r="140">
      <c r="A140" s="53"/>
      <c r="B140" s="53"/>
      <c r="C140" s="53"/>
      <c r="D140" s="53"/>
      <c r="E140" s="53"/>
      <c r="F140" s="53"/>
    </row>
    <row r="141">
      <c r="A141" s="9" t="s">
        <v>4</v>
      </c>
      <c r="B141" s="9" t="s">
        <v>5</v>
      </c>
      <c r="C141" s="9" t="s">
        <v>6</v>
      </c>
      <c r="D141" s="9" t="s">
        <v>7</v>
      </c>
      <c r="E141" s="9" t="s">
        <v>8</v>
      </c>
      <c r="F141" s="9" t="s">
        <v>9</v>
      </c>
    </row>
    <row r="142">
      <c r="A142" s="13">
        <v>1.0</v>
      </c>
      <c r="B142" s="54" t="s">
        <v>121</v>
      </c>
      <c r="C142" s="55">
        <v>46204.0</v>
      </c>
      <c r="D142" s="22">
        <v>62.62</v>
      </c>
      <c r="E142" s="56"/>
      <c r="F142" s="28"/>
    </row>
    <row r="143">
      <c r="A143" s="30" t="s">
        <v>113</v>
      </c>
      <c r="B143" s="31"/>
      <c r="C143" s="32"/>
      <c r="D143" s="24">
        <f>round(D142*10%,2)</f>
        <v>6.26</v>
      </c>
      <c r="E143" s="57"/>
      <c r="F143" s="28"/>
    </row>
    <row r="144">
      <c r="A144" s="30" t="s">
        <v>106</v>
      </c>
      <c r="B144" s="31"/>
      <c r="C144" s="32"/>
      <c r="D144" s="24">
        <f>round(D142*10%,2)</f>
        <v>6.26</v>
      </c>
      <c r="E144" s="57"/>
      <c r="F144" s="28"/>
    </row>
    <row r="145">
      <c r="A145" s="33" t="s">
        <v>9</v>
      </c>
      <c r="B145" s="31"/>
      <c r="C145" s="32"/>
      <c r="D145" s="39">
        <f>D142-D143+D144</f>
        <v>62.62</v>
      </c>
      <c r="E145" s="90">
        <v>26475.0</v>
      </c>
      <c r="F145" s="41">
        <f>round(D145*E145,0)</f>
        <v>1657865</v>
      </c>
    </row>
    <row r="146">
      <c r="A146" s="33" t="s">
        <v>26</v>
      </c>
      <c r="B146" s="31"/>
      <c r="C146" s="32"/>
      <c r="D146" s="39"/>
      <c r="E146" s="90"/>
      <c r="F146" s="41">
        <f>round(F145*10%,0)</f>
        <v>165787</v>
      </c>
    </row>
    <row r="147">
      <c r="A147" s="33" t="s">
        <v>16</v>
      </c>
      <c r="B147" s="31"/>
      <c r="C147" s="32"/>
      <c r="D147" s="39"/>
      <c r="E147" s="90"/>
      <c r="F147" s="41">
        <f>F145+F146</f>
        <v>1823652</v>
      </c>
    </row>
  </sheetData>
  <mergeCells count="66">
    <mergeCell ref="A115:C115"/>
    <mergeCell ref="A116:C116"/>
    <mergeCell ref="A117:C117"/>
    <mergeCell ref="A118:C118"/>
    <mergeCell ref="A119:C119"/>
    <mergeCell ref="A125:F125"/>
    <mergeCell ref="A129:C129"/>
    <mergeCell ref="A145:C145"/>
    <mergeCell ref="A146:C146"/>
    <mergeCell ref="A147:C147"/>
    <mergeCell ref="A130:C130"/>
    <mergeCell ref="A131:C131"/>
    <mergeCell ref="A132:C132"/>
    <mergeCell ref="A133:C133"/>
    <mergeCell ref="A139:F139"/>
    <mergeCell ref="A143:C143"/>
    <mergeCell ref="A144:C144"/>
    <mergeCell ref="A1:F1"/>
    <mergeCell ref="A5:C5"/>
    <mergeCell ref="A6:C6"/>
    <mergeCell ref="A7:C7"/>
    <mergeCell ref="A8:C8"/>
    <mergeCell ref="A9:C9"/>
    <mergeCell ref="A14:F14"/>
    <mergeCell ref="A18:C18"/>
    <mergeCell ref="A19:C19"/>
    <mergeCell ref="A20:C20"/>
    <mergeCell ref="A21:C21"/>
    <mergeCell ref="A22:C22"/>
    <mergeCell ref="A27:F27"/>
    <mergeCell ref="A31:C31"/>
    <mergeCell ref="A32:C32"/>
    <mergeCell ref="A33:C33"/>
    <mergeCell ref="A34:C34"/>
    <mergeCell ref="A35:C35"/>
    <mergeCell ref="A41:F41"/>
    <mergeCell ref="A45:C45"/>
    <mergeCell ref="A46:C46"/>
    <mergeCell ref="A47:C47"/>
    <mergeCell ref="A48:C48"/>
    <mergeCell ref="A49:C49"/>
    <mergeCell ref="A55:F55"/>
    <mergeCell ref="A59:C59"/>
    <mergeCell ref="A60:C60"/>
    <mergeCell ref="A61:C61"/>
    <mergeCell ref="A62:C62"/>
    <mergeCell ref="A63:C63"/>
    <mergeCell ref="A69:F69"/>
    <mergeCell ref="A73:C73"/>
    <mergeCell ref="A74:C74"/>
    <mergeCell ref="A75:C75"/>
    <mergeCell ref="A76:C76"/>
    <mergeCell ref="A77:C77"/>
    <mergeCell ref="A83:F83"/>
    <mergeCell ref="A87:C87"/>
    <mergeCell ref="A88:C88"/>
    <mergeCell ref="A89:C89"/>
    <mergeCell ref="A90:C90"/>
    <mergeCell ref="A91:C91"/>
    <mergeCell ref="A97:F97"/>
    <mergeCell ref="A101:C101"/>
    <mergeCell ref="A102:C102"/>
    <mergeCell ref="A103:C103"/>
    <mergeCell ref="A104:C104"/>
    <mergeCell ref="A105:C105"/>
    <mergeCell ref="A111:F111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9.75"/>
    <col customWidth="1" min="3" max="7" width="15.88"/>
  </cols>
  <sheetData>
    <row r="1">
      <c r="A1" s="52" t="s">
        <v>119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120</v>
      </c>
      <c r="C4" s="55">
        <v>45901.0</v>
      </c>
      <c r="D4" s="22">
        <v>81.68</v>
      </c>
      <c r="E4" s="56"/>
      <c r="F4" s="28"/>
    </row>
    <row r="5">
      <c r="A5" s="30" t="s">
        <v>113</v>
      </c>
      <c r="B5" s="31"/>
      <c r="C5" s="32"/>
      <c r="D5" s="24">
        <f>round(D4*10%,2)</f>
        <v>8.17</v>
      </c>
      <c r="E5" s="57"/>
      <c r="F5" s="28"/>
    </row>
    <row r="6">
      <c r="A6" s="30" t="s">
        <v>106</v>
      </c>
      <c r="B6" s="31"/>
      <c r="C6" s="32"/>
      <c r="D6" s="24">
        <f>round(D4*10%,2)</f>
        <v>8.17</v>
      </c>
      <c r="E6" s="57"/>
      <c r="F6" s="28"/>
    </row>
    <row r="7">
      <c r="A7" s="33" t="s">
        <v>9</v>
      </c>
      <c r="B7" s="31"/>
      <c r="C7" s="32"/>
      <c r="D7" s="39">
        <f>D4-D5+D6</f>
        <v>81.68</v>
      </c>
      <c r="E7" s="90">
        <v>26446.0</v>
      </c>
      <c r="F7" s="41">
        <f>round(D7*E7,0)</f>
        <v>2160109</v>
      </c>
    </row>
    <row r="8">
      <c r="A8" s="33" t="s">
        <v>26</v>
      </c>
      <c r="B8" s="31"/>
      <c r="C8" s="32"/>
      <c r="D8" s="39"/>
      <c r="E8" s="90"/>
      <c r="F8" s="41">
        <f>round(F7*10%,0)</f>
        <v>216011</v>
      </c>
    </row>
    <row r="9">
      <c r="A9" s="33" t="s">
        <v>16</v>
      </c>
      <c r="B9" s="31"/>
      <c r="C9" s="32"/>
      <c r="D9" s="39"/>
      <c r="E9" s="90"/>
      <c r="F9" s="41">
        <f>F7+F8</f>
        <v>2376120</v>
      </c>
    </row>
    <row r="15">
      <c r="A15" s="52" t="s">
        <v>119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120</v>
      </c>
      <c r="C18" s="55">
        <v>45931.0</v>
      </c>
      <c r="D18" s="22">
        <v>79.9</v>
      </c>
      <c r="E18" s="56"/>
      <c r="F18" s="28"/>
    </row>
    <row r="19">
      <c r="A19" s="30" t="s">
        <v>113</v>
      </c>
      <c r="B19" s="31"/>
      <c r="C19" s="32"/>
      <c r="D19" s="24">
        <f>round(D18*10%,2)</f>
        <v>7.99</v>
      </c>
      <c r="E19" s="57"/>
      <c r="F19" s="28"/>
    </row>
    <row r="20">
      <c r="A20" s="30" t="s">
        <v>106</v>
      </c>
      <c r="B20" s="31"/>
      <c r="C20" s="32"/>
      <c r="D20" s="24">
        <f>round(D18*10%,2)</f>
        <v>7.99</v>
      </c>
      <c r="E20" s="57"/>
      <c r="F20" s="28"/>
    </row>
    <row r="21">
      <c r="A21" s="33" t="s">
        <v>9</v>
      </c>
      <c r="B21" s="31"/>
      <c r="C21" s="32"/>
      <c r="D21" s="39">
        <f>D18-D19+D20</f>
        <v>79.9</v>
      </c>
      <c r="E21" s="90">
        <v>26347.0</v>
      </c>
      <c r="F21" s="41">
        <f>round(D21*E21,0)</f>
        <v>2105125</v>
      </c>
    </row>
    <row r="22">
      <c r="A22" s="33" t="s">
        <v>26</v>
      </c>
      <c r="B22" s="31"/>
      <c r="C22" s="32"/>
      <c r="D22" s="39"/>
      <c r="E22" s="90"/>
      <c r="F22" s="41">
        <f>round(F21*10%,0)</f>
        <v>210513</v>
      </c>
    </row>
    <row r="23">
      <c r="A23" s="33" t="s">
        <v>16</v>
      </c>
      <c r="B23" s="31"/>
      <c r="C23" s="32"/>
      <c r="D23" s="39"/>
      <c r="E23" s="90"/>
      <c r="F23" s="41">
        <f>F21+F22</f>
        <v>2315638</v>
      </c>
    </row>
    <row r="29">
      <c r="A29" s="52" t="s">
        <v>119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120</v>
      </c>
      <c r="C32" s="55">
        <v>45962.0</v>
      </c>
      <c r="D32" s="22">
        <v>79.9</v>
      </c>
      <c r="E32" s="56"/>
      <c r="F32" s="28"/>
    </row>
    <row r="33">
      <c r="A33" s="30" t="s">
        <v>113</v>
      </c>
      <c r="B33" s="31"/>
      <c r="C33" s="32"/>
      <c r="D33" s="24">
        <f>round(D32*10%,2)</f>
        <v>7.99</v>
      </c>
      <c r="E33" s="57"/>
      <c r="F33" s="28"/>
    </row>
    <row r="34">
      <c r="A34" s="30" t="s">
        <v>106</v>
      </c>
      <c r="B34" s="31"/>
      <c r="C34" s="32"/>
      <c r="D34" s="24">
        <f>round(D32*10%,2)</f>
        <v>7.99</v>
      </c>
      <c r="E34" s="57"/>
      <c r="F34" s="28"/>
    </row>
    <row r="35">
      <c r="A35" s="33" t="s">
        <v>9</v>
      </c>
      <c r="B35" s="31"/>
      <c r="C35" s="32"/>
      <c r="D35" s="39">
        <f>D32-D33+D34</f>
        <v>79.9</v>
      </c>
      <c r="E35" s="90">
        <v>26412.0</v>
      </c>
      <c r="F35" s="41">
        <f>round(D35*E35,0)</f>
        <v>2110319</v>
      </c>
    </row>
    <row r="36">
      <c r="A36" s="33" t="s">
        <v>26</v>
      </c>
      <c r="B36" s="31"/>
      <c r="C36" s="32"/>
      <c r="D36" s="39"/>
      <c r="E36" s="90"/>
      <c r="F36" s="41">
        <f>round(F35*10%,0)</f>
        <v>211032</v>
      </c>
    </row>
    <row r="37">
      <c r="A37" s="33" t="s">
        <v>16</v>
      </c>
      <c r="B37" s="31"/>
      <c r="C37" s="32"/>
      <c r="D37" s="39"/>
      <c r="E37" s="90"/>
      <c r="F37" s="41">
        <f>F35+F36</f>
        <v>2321351</v>
      </c>
    </row>
    <row r="43">
      <c r="A43" s="52" t="s">
        <v>119</v>
      </c>
    </row>
    <row r="44">
      <c r="A44" s="53"/>
      <c r="B44" s="53"/>
      <c r="C44" s="53"/>
      <c r="D44" s="53"/>
      <c r="E44" s="53"/>
      <c r="F44" s="53"/>
    </row>
    <row r="45">
      <c r="A45" s="9" t="s">
        <v>4</v>
      </c>
      <c r="B45" s="9" t="s">
        <v>5</v>
      </c>
      <c r="C45" s="9" t="s">
        <v>6</v>
      </c>
      <c r="D45" s="9" t="s">
        <v>7</v>
      </c>
      <c r="E45" s="9" t="s">
        <v>8</v>
      </c>
      <c r="F45" s="9" t="s">
        <v>9</v>
      </c>
    </row>
    <row r="46">
      <c r="A46" s="13">
        <v>1.0</v>
      </c>
      <c r="B46" s="54" t="s">
        <v>120</v>
      </c>
      <c r="C46" s="55">
        <v>45992.0</v>
      </c>
      <c r="D46" s="22">
        <v>79.9</v>
      </c>
      <c r="E46" s="56"/>
      <c r="F46" s="28"/>
    </row>
    <row r="47">
      <c r="A47" s="30" t="s">
        <v>113</v>
      </c>
      <c r="B47" s="31"/>
      <c r="C47" s="32"/>
      <c r="D47" s="24">
        <f>round(D46*10%,2)</f>
        <v>7.99</v>
      </c>
      <c r="E47" s="57"/>
      <c r="F47" s="28"/>
    </row>
    <row r="48">
      <c r="A48" s="30" t="s">
        <v>106</v>
      </c>
      <c r="B48" s="31"/>
      <c r="C48" s="32"/>
      <c r="D48" s="24">
        <f>round(D46*10%,2)</f>
        <v>7.99</v>
      </c>
      <c r="E48" s="57"/>
      <c r="F48" s="28"/>
    </row>
    <row r="49">
      <c r="A49" s="33" t="s">
        <v>9</v>
      </c>
      <c r="B49" s="31"/>
      <c r="C49" s="32"/>
      <c r="D49" s="39">
        <f>D46-D47+D48</f>
        <v>79.9</v>
      </c>
      <c r="E49" s="90">
        <v>26377.0</v>
      </c>
      <c r="F49" s="41">
        <f>round(D49*E49,0)</f>
        <v>2107522</v>
      </c>
    </row>
    <row r="50">
      <c r="A50" s="33" t="s">
        <v>26</v>
      </c>
      <c r="B50" s="31"/>
      <c r="C50" s="32"/>
      <c r="D50" s="39"/>
      <c r="E50" s="90"/>
      <c r="F50" s="41">
        <f>round(F49*10%,0)</f>
        <v>210752</v>
      </c>
    </row>
    <row r="51">
      <c r="A51" s="33" t="s">
        <v>16</v>
      </c>
      <c r="B51" s="31"/>
      <c r="C51" s="32"/>
      <c r="D51" s="39"/>
      <c r="E51" s="90"/>
      <c r="F51" s="41">
        <f>F49+F50</f>
        <v>2318274</v>
      </c>
    </row>
    <row r="57">
      <c r="A57" s="52" t="s">
        <v>119</v>
      </c>
    </row>
    <row r="58">
      <c r="A58" s="53"/>
      <c r="B58" s="53"/>
      <c r="C58" s="53"/>
      <c r="D58" s="53"/>
      <c r="E58" s="53"/>
      <c r="F58" s="53"/>
    </row>
    <row r="59">
      <c r="A59" s="9" t="s">
        <v>4</v>
      </c>
      <c r="B59" s="9" t="s">
        <v>5</v>
      </c>
      <c r="C59" s="9" t="s">
        <v>6</v>
      </c>
      <c r="D59" s="9" t="s">
        <v>7</v>
      </c>
      <c r="E59" s="9" t="s">
        <v>8</v>
      </c>
      <c r="F59" s="9" t="s">
        <v>9</v>
      </c>
    </row>
    <row r="60">
      <c r="A60" s="13">
        <v>1.0</v>
      </c>
      <c r="B60" s="54" t="s">
        <v>120</v>
      </c>
      <c r="C60" s="55">
        <v>46023.0</v>
      </c>
      <c r="D60" s="22">
        <v>79.9</v>
      </c>
      <c r="E60" s="56"/>
      <c r="F60" s="28"/>
    </row>
    <row r="61">
      <c r="A61" s="30" t="s">
        <v>113</v>
      </c>
      <c r="B61" s="31"/>
      <c r="C61" s="32"/>
      <c r="D61" s="24">
        <f>round(D60*10%,2)</f>
        <v>7.99</v>
      </c>
      <c r="E61" s="57"/>
      <c r="F61" s="28"/>
    </row>
    <row r="62">
      <c r="A62" s="30" t="s">
        <v>106</v>
      </c>
      <c r="B62" s="31"/>
      <c r="C62" s="32"/>
      <c r="D62" s="24">
        <f>round(D60*10%,2)</f>
        <v>7.99</v>
      </c>
      <c r="E62" s="57"/>
      <c r="F62" s="28"/>
    </row>
    <row r="63">
      <c r="A63" s="33" t="s">
        <v>9</v>
      </c>
      <c r="B63" s="31"/>
      <c r="C63" s="32"/>
      <c r="D63" s="39">
        <f>D60-D61+D62</f>
        <v>79.9</v>
      </c>
      <c r="E63" s="90">
        <v>26145.0</v>
      </c>
      <c r="F63" s="41">
        <f>round(D63*E63,0)</f>
        <v>2088986</v>
      </c>
    </row>
    <row r="64">
      <c r="A64" s="33" t="s">
        <v>26</v>
      </c>
      <c r="B64" s="31"/>
      <c r="C64" s="32"/>
      <c r="D64" s="39"/>
      <c r="E64" s="90"/>
      <c r="F64" s="41">
        <f>round(F63*10%,0)</f>
        <v>208899</v>
      </c>
    </row>
    <row r="65">
      <c r="A65" s="33" t="s">
        <v>16</v>
      </c>
      <c r="B65" s="31"/>
      <c r="C65" s="32"/>
      <c r="D65" s="39"/>
      <c r="E65" s="90"/>
      <c r="F65" s="41">
        <f>F63+F64</f>
        <v>2297885</v>
      </c>
    </row>
    <row r="71">
      <c r="A71" s="52" t="s">
        <v>119</v>
      </c>
    </row>
    <row r="72">
      <c r="A72" s="53"/>
      <c r="B72" s="53"/>
      <c r="C72" s="53"/>
      <c r="D72" s="53"/>
      <c r="E72" s="53"/>
      <c r="F72" s="53"/>
    </row>
    <row r="73">
      <c r="A73" s="9" t="s">
        <v>4</v>
      </c>
      <c r="B73" s="9" t="s">
        <v>5</v>
      </c>
      <c r="C73" s="9" t="s">
        <v>6</v>
      </c>
      <c r="D73" s="9" t="s">
        <v>7</v>
      </c>
      <c r="E73" s="9" t="s">
        <v>8</v>
      </c>
      <c r="F73" s="9" t="s">
        <v>9</v>
      </c>
    </row>
    <row r="74">
      <c r="A74" s="13">
        <v>1.0</v>
      </c>
      <c r="B74" s="54" t="s">
        <v>120</v>
      </c>
      <c r="C74" s="55">
        <v>46054.0</v>
      </c>
      <c r="D74" s="22">
        <v>76.59</v>
      </c>
      <c r="E74" s="56"/>
      <c r="F74" s="28"/>
    </row>
    <row r="75">
      <c r="A75" s="30" t="s">
        <v>113</v>
      </c>
      <c r="B75" s="31"/>
      <c r="C75" s="32"/>
      <c r="D75" s="24">
        <f>round(D74*10%,2)</f>
        <v>7.66</v>
      </c>
      <c r="E75" s="57"/>
      <c r="F75" s="28"/>
    </row>
    <row r="76">
      <c r="A76" s="30" t="s">
        <v>106</v>
      </c>
      <c r="B76" s="31"/>
      <c r="C76" s="32"/>
      <c r="D76" s="24">
        <f>round(D74*10%,2)</f>
        <v>7.66</v>
      </c>
      <c r="E76" s="57"/>
      <c r="F76" s="28"/>
    </row>
    <row r="77">
      <c r="A77" s="33" t="s">
        <v>9</v>
      </c>
      <c r="B77" s="31"/>
      <c r="C77" s="32"/>
      <c r="D77" s="39">
        <f>D74-D75+D76</f>
        <v>76.59</v>
      </c>
      <c r="E77" s="90">
        <v>26240.0</v>
      </c>
      <c r="F77" s="41">
        <f>round(D77*E77,0)</f>
        <v>2009722</v>
      </c>
    </row>
    <row r="78">
      <c r="A78" s="33" t="s">
        <v>26</v>
      </c>
      <c r="B78" s="31"/>
      <c r="C78" s="32"/>
      <c r="D78" s="39"/>
      <c r="E78" s="90"/>
      <c r="F78" s="41">
        <f>round(F77*10%,0)</f>
        <v>200972</v>
      </c>
    </row>
    <row r="79">
      <c r="A79" s="33" t="s">
        <v>16</v>
      </c>
      <c r="B79" s="31"/>
      <c r="C79" s="32"/>
      <c r="D79" s="39"/>
      <c r="E79" s="90"/>
      <c r="F79" s="41">
        <f>F77+F78</f>
        <v>2210694</v>
      </c>
    </row>
    <row r="85">
      <c r="A85" s="52" t="s">
        <v>119</v>
      </c>
    </row>
    <row r="86">
      <c r="A86" s="53"/>
      <c r="B86" s="53"/>
      <c r="C86" s="53"/>
      <c r="D86" s="53"/>
      <c r="E86" s="53"/>
      <c r="F86" s="53"/>
    </row>
    <row r="87">
      <c r="A87" s="9" t="s">
        <v>4</v>
      </c>
      <c r="B87" s="9" t="s">
        <v>5</v>
      </c>
      <c r="C87" s="9" t="s">
        <v>6</v>
      </c>
      <c r="D87" s="9" t="s">
        <v>7</v>
      </c>
      <c r="E87" s="9" t="s">
        <v>8</v>
      </c>
      <c r="F87" s="9" t="s">
        <v>9</v>
      </c>
    </row>
    <row r="88">
      <c r="A88" s="13">
        <v>1.0</v>
      </c>
      <c r="B88" s="54" t="s">
        <v>120</v>
      </c>
      <c r="C88" s="55">
        <v>46082.0</v>
      </c>
      <c r="D88" s="22">
        <v>74.6</v>
      </c>
      <c r="E88" s="56"/>
      <c r="F88" s="28"/>
    </row>
    <row r="89">
      <c r="A89" s="30" t="s">
        <v>113</v>
      </c>
      <c r="B89" s="31"/>
      <c r="C89" s="32"/>
      <c r="D89" s="24">
        <f>round(D88*10%,2)</f>
        <v>7.46</v>
      </c>
      <c r="E89" s="57"/>
      <c r="F89" s="28"/>
    </row>
    <row r="90">
      <c r="A90" s="30" t="s">
        <v>106</v>
      </c>
      <c r="B90" s="31"/>
      <c r="C90" s="32"/>
      <c r="D90" s="24">
        <f>round(D88*10%,2)</f>
        <v>7.46</v>
      </c>
      <c r="E90" s="57"/>
      <c r="F90" s="28"/>
    </row>
    <row r="91">
      <c r="A91" s="33" t="s">
        <v>9</v>
      </c>
      <c r="B91" s="31"/>
      <c r="C91" s="32"/>
      <c r="D91" s="39">
        <f>D88-D89+D90</f>
        <v>74.6</v>
      </c>
      <c r="E91" s="90">
        <v>26357.0</v>
      </c>
      <c r="F91" s="41">
        <f>round(D91*E91,0)</f>
        <v>1966232</v>
      </c>
    </row>
    <row r="92">
      <c r="A92" s="33" t="s">
        <v>26</v>
      </c>
      <c r="B92" s="31"/>
      <c r="C92" s="32"/>
      <c r="D92" s="39"/>
      <c r="E92" s="90"/>
      <c r="F92" s="41">
        <f>round(F91*10%,0)</f>
        <v>196623</v>
      </c>
    </row>
    <row r="93">
      <c r="A93" s="33" t="s">
        <v>16</v>
      </c>
      <c r="B93" s="31"/>
      <c r="C93" s="32"/>
      <c r="D93" s="39"/>
      <c r="E93" s="90"/>
      <c r="F93" s="41">
        <f>F91+F92</f>
        <v>2162855</v>
      </c>
    </row>
    <row r="99">
      <c r="A99" s="52" t="s">
        <v>119</v>
      </c>
    </row>
    <row r="100">
      <c r="A100" s="53"/>
      <c r="B100" s="53"/>
      <c r="C100" s="53"/>
      <c r="D100" s="53"/>
      <c r="E100" s="53"/>
      <c r="F100" s="53"/>
    </row>
    <row r="101">
      <c r="A101" s="9" t="s">
        <v>4</v>
      </c>
      <c r="B101" s="9" t="s">
        <v>5</v>
      </c>
      <c r="C101" s="9" t="s">
        <v>6</v>
      </c>
      <c r="D101" s="9" t="s">
        <v>7</v>
      </c>
      <c r="E101" s="9" t="s">
        <v>8</v>
      </c>
      <c r="F101" s="9" t="s">
        <v>9</v>
      </c>
    </row>
    <row r="102">
      <c r="A102" s="13">
        <v>1.0</v>
      </c>
      <c r="B102" s="54" t="s">
        <v>120</v>
      </c>
      <c r="C102" s="55">
        <v>46113.0</v>
      </c>
      <c r="D102" s="22">
        <v>77.02</v>
      </c>
      <c r="E102" s="56"/>
      <c r="F102" s="28"/>
    </row>
    <row r="103">
      <c r="A103" s="30" t="s">
        <v>113</v>
      </c>
      <c r="B103" s="31"/>
      <c r="C103" s="32"/>
      <c r="D103" s="24">
        <f>round(D102*10%,2)</f>
        <v>7.7</v>
      </c>
      <c r="E103" s="57"/>
      <c r="F103" s="28"/>
    </row>
    <row r="104">
      <c r="A104" s="30" t="s">
        <v>106</v>
      </c>
      <c r="B104" s="31"/>
      <c r="C104" s="32"/>
      <c r="D104" s="24">
        <f>round(D102*10%,2)</f>
        <v>7.7</v>
      </c>
      <c r="E104" s="57"/>
      <c r="F104" s="28"/>
    </row>
    <row r="105">
      <c r="A105" s="33" t="s">
        <v>9</v>
      </c>
      <c r="B105" s="31"/>
      <c r="C105" s="32"/>
      <c r="D105" s="39">
        <f>D102-D103+D104</f>
        <v>77.02</v>
      </c>
      <c r="E105" s="90">
        <v>26368.0</v>
      </c>
      <c r="F105" s="41">
        <f>round(D105*E105,0)</f>
        <v>2030863</v>
      </c>
    </row>
    <row r="106">
      <c r="A106" s="33" t="s">
        <v>26</v>
      </c>
      <c r="B106" s="31"/>
      <c r="C106" s="32"/>
      <c r="D106" s="39"/>
      <c r="E106" s="90"/>
      <c r="F106" s="41">
        <f>round(F105*10%,0)</f>
        <v>203086</v>
      </c>
    </row>
    <row r="107">
      <c r="A107" s="33" t="s">
        <v>16</v>
      </c>
      <c r="B107" s="31"/>
      <c r="C107" s="32"/>
      <c r="D107" s="39"/>
      <c r="E107" s="90"/>
      <c r="F107" s="41">
        <f>F105+F106</f>
        <v>2233949</v>
      </c>
    </row>
    <row r="113">
      <c r="A113" s="52" t="s">
        <v>119</v>
      </c>
    </row>
    <row r="114">
      <c r="A114" s="53"/>
      <c r="B114" s="53"/>
      <c r="C114" s="53"/>
      <c r="D114" s="53"/>
      <c r="E114" s="53"/>
      <c r="F114" s="53"/>
    </row>
    <row r="115">
      <c r="A115" s="9" t="s">
        <v>4</v>
      </c>
      <c r="B115" s="9" t="s">
        <v>5</v>
      </c>
      <c r="C115" s="9" t="s">
        <v>6</v>
      </c>
      <c r="D115" s="9" t="s">
        <v>7</v>
      </c>
      <c r="E115" s="9" t="s">
        <v>8</v>
      </c>
      <c r="F115" s="9" t="s">
        <v>9</v>
      </c>
    </row>
    <row r="116">
      <c r="A116" s="13">
        <v>1.0</v>
      </c>
      <c r="B116" s="54" t="s">
        <v>120</v>
      </c>
      <c r="C116" s="55">
        <v>46143.0</v>
      </c>
      <c r="D116" s="22">
        <v>83.08</v>
      </c>
      <c r="E116" s="56"/>
      <c r="F116" s="28"/>
    </row>
    <row r="117">
      <c r="A117" s="30" t="s">
        <v>113</v>
      </c>
      <c r="B117" s="31"/>
      <c r="C117" s="32"/>
      <c r="D117" s="24">
        <f>round(D116*10%,2)</f>
        <v>8.31</v>
      </c>
      <c r="E117" s="57"/>
      <c r="F117" s="28"/>
    </row>
    <row r="118">
      <c r="A118" s="30" t="s">
        <v>106</v>
      </c>
      <c r="B118" s="31"/>
      <c r="C118" s="32"/>
      <c r="D118" s="24">
        <f>round(D116*10%,2)</f>
        <v>8.31</v>
      </c>
      <c r="E118" s="57"/>
      <c r="F118" s="28"/>
    </row>
    <row r="119">
      <c r="A119" s="33" t="s">
        <v>9</v>
      </c>
      <c r="B119" s="31"/>
      <c r="C119" s="32"/>
      <c r="D119" s="39">
        <f>D116-D117+D118</f>
        <v>83.08</v>
      </c>
      <c r="E119" s="90">
        <v>26395.0</v>
      </c>
      <c r="F119" s="41">
        <f>round(D119*E119,0)</f>
        <v>2192897</v>
      </c>
    </row>
    <row r="120">
      <c r="A120" s="33" t="s">
        <v>26</v>
      </c>
      <c r="B120" s="31"/>
      <c r="C120" s="32"/>
      <c r="D120" s="39"/>
      <c r="E120" s="90"/>
      <c r="F120" s="41">
        <f>round(F119*10%,0)</f>
        <v>219290</v>
      </c>
    </row>
    <row r="121">
      <c r="A121" s="33" t="s">
        <v>16</v>
      </c>
      <c r="B121" s="31"/>
      <c r="C121" s="32"/>
      <c r="D121" s="39"/>
      <c r="E121" s="90"/>
      <c r="F121" s="41">
        <f>F119+F120</f>
        <v>2412187</v>
      </c>
    </row>
    <row r="126">
      <c r="A126" s="52" t="s">
        <v>119</v>
      </c>
    </row>
    <row r="127">
      <c r="A127" s="53"/>
      <c r="B127" s="53"/>
      <c r="C127" s="53"/>
      <c r="D127" s="53"/>
      <c r="E127" s="53"/>
      <c r="F127" s="53"/>
    </row>
    <row r="128">
      <c r="A128" s="9" t="s">
        <v>4</v>
      </c>
      <c r="B128" s="9" t="s">
        <v>5</v>
      </c>
      <c r="C128" s="9" t="s">
        <v>6</v>
      </c>
      <c r="D128" s="9" t="s">
        <v>7</v>
      </c>
      <c r="E128" s="9" t="s">
        <v>8</v>
      </c>
      <c r="F128" s="9" t="s">
        <v>9</v>
      </c>
    </row>
    <row r="129">
      <c r="A129" s="13">
        <v>1.0</v>
      </c>
      <c r="B129" s="54" t="s">
        <v>120</v>
      </c>
      <c r="C129" s="55">
        <v>46174.0</v>
      </c>
      <c r="D129" s="22">
        <v>98.83</v>
      </c>
      <c r="E129" s="56"/>
      <c r="F129" s="28"/>
    </row>
    <row r="130">
      <c r="A130" s="30" t="s">
        <v>113</v>
      </c>
      <c r="B130" s="31"/>
      <c r="C130" s="32"/>
      <c r="D130" s="24">
        <f>round(D129*10%,2)</f>
        <v>9.88</v>
      </c>
      <c r="E130" s="57"/>
      <c r="F130" s="28"/>
    </row>
    <row r="131">
      <c r="A131" s="30" t="s">
        <v>106</v>
      </c>
      <c r="B131" s="31"/>
      <c r="C131" s="32"/>
      <c r="D131" s="24">
        <f>round(D129*10%,2)</f>
        <v>9.88</v>
      </c>
      <c r="E131" s="57"/>
      <c r="F131" s="28"/>
    </row>
    <row r="132">
      <c r="A132" s="33" t="s">
        <v>9</v>
      </c>
      <c r="B132" s="31"/>
      <c r="C132" s="32"/>
      <c r="D132" s="39">
        <f>D129-D130+D131</f>
        <v>98.83</v>
      </c>
      <c r="E132" s="90">
        <v>26466.0</v>
      </c>
      <c r="F132" s="41">
        <f>round(D132*E132,0)</f>
        <v>2615635</v>
      </c>
    </row>
    <row r="133">
      <c r="A133" s="33" t="s">
        <v>26</v>
      </c>
      <c r="B133" s="31"/>
      <c r="C133" s="32"/>
      <c r="D133" s="39"/>
      <c r="E133" s="90"/>
      <c r="F133" s="41">
        <f>round(F132*10%,0)</f>
        <v>261564</v>
      </c>
    </row>
    <row r="134">
      <c r="A134" s="33" t="s">
        <v>16</v>
      </c>
      <c r="B134" s="31"/>
      <c r="C134" s="32"/>
      <c r="D134" s="39"/>
      <c r="E134" s="90"/>
      <c r="F134" s="41">
        <f>F132+F133</f>
        <v>2877199</v>
      </c>
    </row>
  </sheetData>
  <mergeCells count="60">
    <mergeCell ref="A131:C131"/>
    <mergeCell ref="A132:C132"/>
    <mergeCell ref="A133:C133"/>
    <mergeCell ref="A134:C134"/>
    <mergeCell ref="A117:C117"/>
    <mergeCell ref="A118:C118"/>
    <mergeCell ref="A119:C119"/>
    <mergeCell ref="A120:C120"/>
    <mergeCell ref="A121:C121"/>
    <mergeCell ref="A126:F126"/>
    <mergeCell ref="A130:C130"/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29:F29"/>
    <mergeCell ref="A33:C33"/>
    <mergeCell ref="A34:C34"/>
    <mergeCell ref="A35:C35"/>
    <mergeCell ref="A36:C36"/>
    <mergeCell ref="A37:C37"/>
    <mergeCell ref="A43:F43"/>
    <mergeCell ref="A47:C47"/>
    <mergeCell ref="A48:C48"/>
    <mergeCell ref="A49:C49"/>
    <mergeCell ref="A50:C50"/>
    <mergeCell ref="A51:C51"/>
    <mergeCell ref="A57:F57"/>
    <mergeCell ref="A61:C61"/>
    <mergeCell ref="A62:C62"/>
    <mergeCell ref="A63:C63"/>
    <mergeCell ref="A64:C64"/>
    <mergeCell ref="A65:C65"/>
    <mergeCell ref="A71:F71"/>
    <mergeCell ref="A75:C75"/>
    <mergeCell ref="A76:C76"/>
    <mergeCell ref="A77:C77"/>
    <mergeCell ref="A78:C78"/>
    <mergeCell ref="A79:C79"/>
    <mergeCell ref="A85:F85"/>
    <mergeCell ref="A89:C89"/>
    <mergeCell ref="A90:C90"/>
    <mergeCell ref="A91:C91"/>
    <mergeCell ref="A92:C92"/>
    <mergeCell ref="A93:C93"/>
    <mergeCell ref="A99:F99"/>
    <mergeCell ref="A103:C103"/>
    <mergeCell ref="A104:C104"/>
    <mergeCell ref="A105:C105"/>
    <mergeCell ref="A106:C106"/>
    <mergeCell ref="A107:C107"/>
    <mergeCell ref="A113:F113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9.75"/>
    <col customWidth="1" min="3" max="7" width="15.88"/>
  </cols>
  <sheetData>
    <row r="1">
      <c r="A1" s="52" t="s">
        <v>122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123</v>
      </c>
      <c r="C4" s="55">
        <v>45901.0</v>
      </c>
      <c r="D4" s="22">
        <v>6.0</v>
      </c>
      <c r="E4" s="56"/>
      <c r="F4" s="28"/>
    </row>
    <row r="5">
      <c r="A5" s="30" t="s">
        <v>113</v>
      </c>
      <c r="B5" s="31"/>
      <c r="C5" s="32"/>
      <c r="D5" s="24">
        <f>round(D4*10%,2)</f>
        <v>0.6</v>
      </c>
      <c r="E5" s="57"/>
      <c r="F5" s="28"/>
    </row>
    <row r="6">
      <c r="A6" s="30" t="s">
        <v>106</v>
      </c>
      <c r="B6" s="31"/>
      <c r="C6" s="32"/>
      <c r="D6" s="24">
        <f>round(D4*10%,2)</f>
        <v>0.6</v>
      </c>
      <c r="E6" s="57"/>
      <c r="F6" s="28"/>
    </row>
    <row r="7">
      <c r="A7" s="33" t="s">
        <v>9</v>
      </c>
      <c r="B7" s="31"/>
      <c r="C7" s="32"/>
      <c r="D7" s="39">
        <f>D4-D5+D6</f>
        <v>6</v>
      </c>
      <c r="E7" s="90">
        <v>26446.0</v>
      </c>
      <c r="F7" s="41">
        <f>round(D7*E7,0)</f>
        <v>158676</v>
      </c>
    </row>
    <row r="8">
      <c r="A8" s="33" t="s">
        <v>26</v>
      </c>
      <c r="B8" s="31"/>
      <c r="C8" s="32"/>
      <c r="D8" s="39"/>
      <c r="E8" s="90"/>
      <c r="F8" s="41">
        <f>round(F7*10%,0)</f>
        <v>15868</v>
      </c>
    </row>
    <row r="9">
      <c r="A9" s="33" t="s">
        <v>16</v>
      </c>
      <c r="B9" s="31"/>
      <c r="C9" s="32"/>
      <c r="D9" s="39"/>
      <c r="E9" s="90"/>
      <c r="F9" s="41">
        <f>F7+F8</f>
        <v>174544</v>
      </c>
    </row>
    <row r="15">
      <c r="A15" s="52" t="s">
        <v>122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123</v>
      </c>
      <c r="C18" s="55">
        <v>45931.0</v>
      </c>
      <c r="D18" s="22">
        <v>6.01</v>
      </c>
      <c r="E18" s="56"/>
      <c r="F18" s="28"/>
    </row>
    <row r="19">
      <c r="A19" s="30" t="s">
        <v>113</v>
      </c>
      <c r="B19" s="31"/>
      <c r="C19" s="32"/>
      <c r="D19" s="24">
        <f>round(D18*10%,2)</f>
        <v>0.6</v>
      </c>
      <c r="E19" s="57"/>
      <c r="F19" s="28"/>
    </row>
    <row r="20">
      <c r="A20" s="30" t="s">
        <v>106</v>
      </c>
      <c r="B20" s="31"/>
      <c r="C20" s="32"/>
      <c r="D20" s="24">
        <f>round(D18*10%,2)</f>
        <v>0.6</v>
      </c>
      <c r="E20" s="57"/>
      <c r="F20" s="28"/>
    </row>
    <row r="21">
      <c r="A21" s="33" t="s">
        <v>9</v>
      </c>
      <c r="B21" s="31"/>
      <c r="C21" s="32"/>
      <c r="D21" s="39">
        <f>D18-D19+D20</f>
        <v>6.01</v>
      </c>
      <c r="E21" s="90">
        <v>26347.0</v>
      </c>
      <c r="F21" s="41">
        <f>round(D21*E21,0)</f>
        <v>158345</v>
      </c>
    </row>
    <row r="22">
      <c r="A22" s="33" t="s">
        <v>26</v>
      </c>
      <c r="B22" s="31"/>
      <c r="C22" s="32"/>
      <c r="D22" s="39"/>
      <c r="E22" s="90"/>
      <c r="F22" s="41">
        <f>round(F21*10%,0)</f>
        <v>15835</v>
      </c>
    </row>
    <row r="23">
      <c r="A23" s="33" t="s">
        <v>16</v>
      </c>
      <c r="B23" s="31"/>
      <c r="C23" s="32"/>
      <c r="D23" s="39"/>
      <c r="E23" s="90"/>
      <c r="F23" s="41">
        <f>F21+F22</f>
        <v>174180</v>
      </c>
    </row>
    <row r="29">
      <c r="A29" s="52" t="s">
        <v>122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123</v>
      </c>
      <c r="C32" s="55">
        <v>45962.0</v>
      </c>
      <c r="D32" s="22">
        <v>6.61</v>
      </c>
      <c r="E32" s="56"/>
      <c r="F32" s="28"/>
    </row>
    <row r="33">
      <c r="A33" s="30" t="s">
        <v>113</v>
      </c>
      <c r="B33" s="31"/>
      <c r="C33" s="32"/>
      <c r="D33" s="24">
        <f>round(D32*10%,2)</f>
        <v>0.66</v>
      </c>
      <c r="E33" s="57"/>
      <c r="F33" s="28"/>
    </row>
    <row r="34">
      <c r="A34" s="30" t="s">
        <v>106</v>
      </c>
      <c r="B34" s="31"/>
      <c r="C34" s="32"/>
      <c r="D34" s="24">
        <f>round(D32*10%,2)</f>
        <v>0.66</v>
      </c>
      <c r="E34" s="57"/>
      <c r="F34" s="28"/>
    </row>
    <row r="35">
      <c r="A35" s="33" t="s">
        <v>9</v>
      </c>
      <c r="B35" s="31"/>
      <c r="C35" s="32"/>
      <c r="D35" s="39">
        <f>D32-D33+D34</f>
        <v>6.61</v>
      </c>
      <c r="E35" s="90">
        <v>26412.0</v>
      </c>
      <c r="F35" s="41">
        <f>round(D35*E35,0)</f>
        <v>174583</v>
      </c>
    </row>
    <row r="36">
      <c r="A36" s="33" t="s">
        <v>26</v>
      </c>
      <c r="B36" s="31"/>
      <c r="C36" s="32"/>
      <c r="D36" s="39"/>
      <c r="E36" s="90"/>
      <c r="F36" s="41">
        <f>round(F35*10%,0)</f>
        <v>17458</v>
      </c>
    </row>
    <row r="37">
      <c r="A37" s="33" t="s">
        <v>16</v>
      </c>
      <c r="B37" s="31"/>
      <c r="C37" s="32"/>
      <c r="D37" s="39"/>
      <c r="E37" s="90"/>
      <c r="F37" s="41">
        <f>F35+F36</f>
        <v>192041</v>
      </c>
    </row>
    <row r="43">
      <c r="A43" s="52" t="s">
        <v>122</v>
      </c>
    </row>
    <row r="44">
      <c r="A44" s="53"/>
      <c r="B44" s="53"/>
      <c r="C44" s="53"/>
      <c r="D44" s="53"/>
      <c r="E44" s="53"/>
      <c r="F44" s="53"/>
    </row>
    <row r="45">
      <c r="A45" s="9" t="s">
        <v>4</v>
      </c>
      <c r="B45" s="9" t="s">
        <v>5</v>
      </c>
      <c r="C45" s="9" t="s">
        <v>6</v>
      </c>
      <c r="D45" s="9" t="s">
        <v>7</v>
      </c>
      <c r="E45" s="9" t="s">
        <v>8</v>
      </c>
      <c r="F45" s="9" t="s">
        <v>9</v>
      </c>
    </row>
    <row r="46">
      <c r="A46" s="13">
        <v>1.0</v>
      </c>
      <c r="B46" s="54" t="s">
        <v>123</v>
      </c>
      <c r="C46" s="55">
        <v>45992.0</v>
      </c>
      <c r="D46" s="22">
        <v>6.0</v>
      </c>
      <c r="E46" s="56"/>
      <c r="F46" s="28"/>
    </row>
    <row r="47">
      <c r="A47" s="30" t="s">
        <v>113</v>
      </c>
      <c r="B47" s="31"/>
      <c r="C47" s="32"/>
      <c r="D47" s="24">
        <f>round(D46*10%,2)</f>
        <v>0.6</v>
      </c>
      <c r="E47" s="57"/>
      <c r="F47" s="28"/>
    </row>
    <row r="48">
      <c r="A48" s="30" t="s">
        <v>106</v>
      </c>
      <c r="B48" s="31"/>
      <c r="C48" s="32"/>
      <c r="D48" s="24">
        <f>round(D46*10%,2)</f>
        <v>0.6</v>
      </c>
      <c r="E48" s="57"/>
      <c r="F48" s="28"/>
    </row>
    <row r="49">
      <c r="A49" s="33" t="s">
        <v>9</v>
      </c>
      <c r="B49" s="31"/>
      <c r="C49" s="32"/>
      <c r="D49" s="39">
        <f>D46-D47+D48</f>
        <v>6</v>
      </c>
      <c r="E49" s="90">
        <v>26377.0</v>
      </c>
      <c r="F49" s="41">
        <f>round(D49*E49,0)</f>
        <v>158262</v>
      </c>
    </row>
    <row r="50">
      <c r="A50" s="33" t="s">
        <v>26</v>
      </c>
      <c r="B50" s="31"/>
      <c r="C50" s="32"/>
      <c r="D50" s="39"/>
      <c r="E50" s="90"/>
      <c r="F50" s="41">
        <f>round(F49*10%,0)</f>
        <v>15826</v>
      </c>
    </row>
    <row r="51">
      <c r="A51" s="33" t="s">
        <v>16</v>
      </c>
      <c r="B51" s="31"/>
      <c r="C51" s="32"/>
      <c r="D51" s="39"/>
      <c r="E51" s="90"/>
      <c r="F51" s="41">
        <f>F49+F50</f>
        <v>174088</v>
      </c>
    </row>
    <row r="56">
      <c r="A56" s="52" t="s">
        <v>122</v>
      </c>
    </row>
    <row r="57">
      <c r="A57" s="53"/>
      <c r="B57" s="53"/>
      <c r="C57" s="53"/>
      <c r="D57" s="53"/>
      <c r="E57" s="53"/>
      <c r="F57" s="53"/>
    </row>
    <row r="58">
      <c r="A58" s="9" t="s">
        <v>4</v>
      </c>
      <c r="B58" s="9" t="s">
        <v>5</v>
      </c>
      <c r="C58" s="9" t="s">
        <v>6</v>
      </c>
      <c r="D58" s="9" t="s">
        <v>7</v>
      </c>
      <c r="E58" s="9" t="s">
        <v>8</v>
      </c>
      <c r="F58" s="9" t="s">
        <v>9</v>
      </c>
    </row>
    <row r="59">
      <c r="A59" s="13">
        <v>1.0</v>
      </c>
      <c r="B59" s="54" t="s">
        <v>123</v>
      </c>
      <c r="C59" s="55">
        <v>46023.0</v>
      </c>
      <c r="D59" s="22">
        <v>6.0</v>
      </c>
      <c r="E59" s="56"/>
      <c r="F59" s="28"/>
    </row>
    <row r="60">
      <c r="A60" s="30" t="s">
        <v>113</v>
      </c>
      <c r="B60" s="31"/>
      <c r="C60" s="32"/>
      <c r="D60" s="24">
        <f>round(D59*10%,2)</f>
        <v>0.6</v>
      </c>
      <c r="E60" s="57"/>
      <c r="F60" s="28"/>
    </row>
    <row r="61">
      <c r="A61" s="30" t="s">
        <v>106</v>
      </c>
      <c r="B61" s="31"/>
      <c r="C61" s="32"/>
      <c r="D61" s="24">
        <f>round(D59*10%,2)</f>
        <v>0.6</v>
      </c>
      <c r="E61" s="57"/>
      <c r="F61" s="28"/>
    </row>
    <row r="62">
      <c r="A62" s="33" t="s">
        <v>9</v>
      </c>
      <c r="B62" s="31"/>
      <c r="C62" s="32"/>
      <c r="D62" s="39">
        <f>D59-D60+D61</f>
        <v>6</v>
      </c>
      <c r="E62" s="90">
        <v>26145.0</v>
      </c>
      <c r="F62" s="41">
        <f>round(D62*E62,0)</f>
        <v>156870</v>
      </c>
    </row>
    <row r="63">
      <c r="A63" s="33" t="s">
        <v>26</v>
      </c>
      <c r="B63" s="31"/>
      <c r="C63" s="32"/>
      <c r="D63" s="39"/>
      <c r="E63" s="90"/>
      <c r="F63" s="41">
        <f>round(F62*10%,0)</f>
        <v>15687</v>
      </c>
    </row>
    <row r="64">
      <c r="A64" s="33" t="s">
        <v>16</v>
      </c>
      <c r="B64" s="31"/>
      <c r="C64" s="32"/>
      <c r="D64" s="39"/>
      <c r="E64" s="90"/>
      <c r="F64" s="41">
        <f>F62+F63</f>
        <v>172557</v>
      </c>
    </row>
    <row r="70">
      <c r="A70" s="52" t="s">
        <v>122</v>
      </c>
    </row>
    <row r="71">
      <c r="A71" s="53"/>
      <c r="B71" s="53"/>
      <c r="C71" s="53"/>
      <c r="D71" s="53"/>
      <c r="E71" s="53"/>
      <c r="F71" s="53"/>
    </row>
    <row r="72">
      <c r="A72" s="9" t="s">
        <v>4</v>
      </c>
      <c r="B72" s="9" t="s">
        <v>5</v>
      </c>
      <c r="C72" s="9" t="s">
        <v>6</v>
      </c>
      <c r="D72" s="9" t="s">
        <v>7</v>
      </c>
      <c r="E72" s="9" t="s">
        <v>8</v>
      </c>
      <c r="F72" s="9" t="s">
        <v>9</v>
      </c>
    </row>
    <row r="73">
      <c r="A73" s="13">
        <v>1.0</v>
      </c>
      <c r="B73" s="54" t="s">
        <v>123</v>
      </c>
      <c r="C73" s="55">
        <v>46054.0</v>
      </c>
      <c r="D73" s="22">
        <v>6.0</v>
      </c>
      <c r="E73" s="56"/>
      <c r="F73" s="28"/>
    </row>
    <row r="74">
      <c r="A74" s="30" t="s">
        <v>113</v>
      </c>
      <c r="B74" s="31"/>
      <c r="C74" s="32"/>
      <c r="D74" s="24">
        <f>round(D73*10%,2)</f>
        <v>0.6</v>
      </c>
      <c r="E74" s="57"/>
      <c r="F74" s="28"/>
    </row>
    <row r="75">
      <c r="A75" s="30" t="s">
        <v>106</v>
      </c>
      <c r="B75" s="31"/>
      <c r="C75" s="32"/>
      <c r="D75" s="24">
        <f>round(D73*10%,2)</f>
        <v>0.6</v>
      </c>
      <c r="E75" s="57"/>
      <c r="F75" s="28"/>
    </row>
    <row r="76">
      <c r="A76" s="33" t="s">
        <v>9</v>
      </c>
      <c r="B76" s="31"/>
      <c r="C76" s="32"/>
      <c r="D76" s="39">
        <f>D73-D74+D75</f>
        <v>6</v>
      </c>
      <c r="E76" s="90">
        <v>26240.0</v>
      </c>
      <c r="F76" s="41">
        <f>round(D76*E76,0)</f>
        <v>157440</v>
      </c>
    </row>
    <row r="77">
      <c r="A77" s="33" t="s">
        <v>26</v>
      </c>
      <c r="B77" s="31"/>
      <c r="C77" s="32"/>
      <c r="D77" s="39"/>
      <c r="E77" s="90"/>
      <c r="F77" s="41">
        <f>round(F76*10%,0)</f>
        <v>15744</v>
      </c>
    </row>
    <row r="78">
      <c r="A78" s="33" t="s">
        <v>16</v>
      </c>
      <c r="B78" s="31"/>
      <c r="C78" s="32"/>
      <c r="D78" s="39"/>
      <c r="E78" s="90"/>
      <c r="F78" s="41">
        <f>F76+F77</f>
        <v>173184</v>
      </c>
    </row>
    <row r="84">
      <c r="A84" s="52" t="s">
        <v>122</v>
      </c>
    </row>
    <row r="85">
      <c r="A85" s="53"/>
      <c r="B85" s="53"/>
      <c r="C85" s="53"/>
      <c r="D85" s="53"/>
      <c r="E85" s="53"/>
      <c r="F85" s="53"/>
    </row>
    <row r="86">
      <c r="A86" s="9" t="s">
        <v>4</v>
      </c>
      <c r="B86" s="9" t="s">
        <v>5</v>
      </c>
      <c r="C86" s="9" t="s">
        <v>6</v>
      </c>
      <c r="D86" s="9" t="s">
        <v>7</v>
      </c>
      <c r="E86" s="9" t="s">
        <v>8</v>
      </c>
      <c r="F86" s="9" t="s">
        <v>9</v>
      </c>
    </row>
    <row r="87">
      <c r="A87" s="13">
        <v>1.0</v>
      </c>
      <c r="B87" s="54" t="s">
        <v>123</v>
      </c>
      <c r="C87" s="55">
        <v>46082.0</v>
      </c>
      <c r="D87" s="22">
        <v>7.34</v>
      </c>
      <c r="E87" s="56"/>
      <c r="F87" s="28"/>
    </row>
    <row r="88">
      <c r="A88" s="30" t="s">
        <v>113</v>
      </c>
      <c r="B88" s="31"/>
      <c r="C88" s="32"/>
      <c r="D88" s="24">
        <f>round(D87*10%,2)</f>
        <v>0.73</v>
      </c>
      <c r="E88" s="57"/>
      <c r="F88" s="28"/>
    </row>
    <row r="89">
      <c r="A89" s="30" t="s">
        <v>106</v>
      </c>
      <c r="B89" s="31"/>
      <c r="C89" s="32"/>
      <c r="D89" s="24">
        <f>round(D87*10%,2)</f>
        <v>0.73</v>
      </c>
      <c r="E89" s="57"/>
      <c r="F89" s="28"/>
    </row>
    <row r="90">
      <c r="A90" s="33" t="s">
        <v>9</v>
      </c>
      <c r="B90" s="31"/>
      <c r="C90" s="32"/>
      <c r="D90" s="39">
        <f>D87-D88+D89</f>
        <v>7.34</v>
      </c>
      <c r="E90" s="90">
        <v>26357.0</v>
      </c>
      <c r="F90" s="41">
        <f>round(D90*E90,0)</f>
        <v>193460</v>
      </c>
    </row>
    <row r="91">
      <c r="A91" s="33" t="s">
        <v>26</v>
      </c>
      <c r="B91" s="31"/>
      <c r="C91" s="32"/>
      <c r="D91" s="39"/>
      <c r="E91" s="90"/>
      <c r="F91" s="41">
        <f>round(F90*10%,0)</f>
        <v>19346</v>
      </c>
    </row>
    <row r="92">
      <c r="A92" s="33" t="s">
        <v>16</v>
      </c>
      <c r="B92" s="31"/>
      <c r="C92" s="32"/>
      <c r="D92" s="39"/>
      <c r="E92" s="90"/>
      <c r="F92" s="41">
        <f>F90+F91</f>
        <v>212806</v>
      </c>
    </row>
    <row r="98">
      <c r="A98" s="52" t="s">
        <v>122</v>
      </c>
    </row>
    <row r="99">
      <c r="A99" s="53"/>
      <c r="B99" s="53"/>
      <c r="C99" s="53"/>
      <c r="D99" s="53"/>
      <c r="E99" s="53"/>
      <c r="F99" s="53"/>
    </row>
    <row r="100">
      <c r="A100" s="9" t="s">
        <v>4</v>
      </c>
      <c r="B100" s="9" t="s">
        <v>5</v>
      </c>
      <c r="C100" s="9" t="s">
        <v>6</v>
      </c>
      <c r="D100" s="9" t="s">
        <v>7</v>
      </c>
      <c r="E100" s="9" t="s">
        <v>8</v>
      </c>
      <c r="F100" s="9" t="s">
        <v>9</v>
      </c>
    </row>
    <row r="101">
      <c r="A101" s="13">
        <v>1.0</v>
      </c>
      <c r="B101" s="54" t="s">
        <v>123</v>
      </c>
      <c r="C101" s="55">
        <v>46113.0</v>
      </c>
      <c r="D101" s="22">
        <v>48.0</v>
      </c>
      <c r="E101" s="56"/>
      <c r="F101" s="28"/>
    </row>
    <row r="102">
      <c r="A102" s="30" t="s">
        <v>113</v>
      </c>
      <c r="B102" s="31"/>
      <c r="C102" s="32"/>
      <c r="D102" s="24">
        <f>round(D101*10%,2)</f>
        <v>4.8</v>
      </c>
      <c r="E102" s="57"/>
      <c r="F102" s="28"/>
    </row>
    <row r="103">
      <c r="A103" s="30" t="s">
        <v>106</v>
      </c>
      <c r="B103" s="31"/>
      <c r="C103" s="32"/>
      <c r="D103" s="24">
        <f>round(D101*10%,2)</f>
        <v>4.8</v>
      </c>
      <c r="E103" s="57"/>
      <c r="F103" s="28"/>
    </row>
    <row r="104">
      <c r="A104" s="33" t="s">
        <v>9</v>
      </c>
      <c r="B104" s="31"/>
      <c r="C104" s="32"/>
      <c r="D104" s="39">
        <f>D101-D102+D103</f>
        <v>48</v>
      </c>
      <c r="E104" s="90">
        <v>26368.0</v>
      </c>
      <c r="F104" s="41">
        <f>round(D104*E104,0)</f>
        <v>1265664</v>
      </c>
    </row>
    <row r="105">
      <c r="A105" s="33" t="s">
        <v>26</v>
      </c>
      <c r="B105" s="31"/>
      <c r="C105" s="32"/>
      <c r="D105" s="39"/>
      <c r="E105" s="90"/>
      <c r="F105" s="41">
        <f>round(F104*10%,0)</f>
        <v>126566</v>
      </c>
    </row>
    <row r="106">
      <c r="A106" s="33" t="s">
        <v>16</v>
      </c>
      <c r="B106" s="31"/>
      <c r="C106" s="32"/>
      <c r="D106" s="39"/>
      <c r="E106" s="90"/>
      <c r="F106" s="41">
        <f>F104+F105</f>
        <v>1392230</v>
      </c>
    </row>
    <row r="112">
      <c r="A112" s="52" t="s">
        <v>122</v>
      </c>
    </row>
    <row r="113">
      <c r="A113" s="53"/>
      <c r="B113" s="53"/>
      <c r="C113" s="53"/>
      <c r="D113" s="53"/>
      <c r="E113" s="53"/>
      <c r="F113" s="53"/>
    </row>
    <row r="114">
      <c r="A114" s="9" t="s">
        <v>4</v>
      </c>
      <c r="B114" s="9" t="s">
        <v>5</v>
      </c>
      <c r="C114" s="9" t="s">
        <v>6</v>
      </c>
      <c r="D114" s="9" t="s">
        <v>7</v>
      </c>
      <c r="E114" s="9" t="s">
        <v>8</v>
      </c>
      <c r="F114" s="9" t="s">
        <v>9</v>
      </c>
    </row>
    <row r="115">
      <c r="A115" s="13">
        <v>1.0</v>
      </c>
      <c r="B115" s="54" t="s">
        <v>123</v>
      </c>
      <c r="C115" s="55">
        <v>46143.0</v>
      </c>
      <c r="D115" s="22">
        <v>64.65</v>
      </c>
      <c r="E115" s="56"/>
      <c r="F115" s="28"/>
    </row>
    <row r="116">
      <c r="A116" s="30" t="s">
        <v>113</v>
      </c>
      <c r="B116" s="31"/>
      <c r="C116" s="32"/>
      <c r="D116" s="24">
        <f>round(D115*10%,2)</f>
        <v>6.47</v>
      </c>
      <c r="E116" s="57"/>
      <c r="F116" s="28"/>
    </row>
    <row r="117">
      <c r="A117" s="30" t="s">
        <v>106</v>
      </c>
      <c r="B117" s="31"/>
      <c r="C117" s="32"/>
      <c r="D117" s="24">
        <f>round(D115*10%,2)</f>
        <v>6.47</v>
      </c>
      <c r="E117" s="57"/>
      <c r="F117" s="28"/>
    </row>
    <row r="118">
      <c r="A118" s="33" t="s">
        <v>9</v>
      </c>
      <c r="B118" s="31"/>
      <c r="C118" s="32"/>
      <c r="D118" s="39">
        <f>D115-D116+D117</f>
        <v>64.65</v>
      </c>
      <c r="E118" s="90">
        <v>26395.0</v>
      </c>
      <c r="F118" s="41">
        <f>round(D118*E118,0)</f>
        <v>1706437</v>
      </c>
    </row>
    <row r="119">
      <c r="A119" s="33" t="s">
        <v>26</v>
      </c>
      <c r="B119" s="31"/>
      <c r="C119" s="32"/>
      <c r="D119" s="39"/>
      <c r="E119" s="90"/>
      <c r="F119" s="41">
        <f>round(F118*10%,0)</f>
        <v>170644</v>
      </c>
    </row>
    <row r="120">
      <c r="A120" s="33" t="s">
        <v>16</v>
      </c>
      <c r="B120" s="31"/>
      <c r="C120" s="32"/>
      <c r="D120" s="39"/>
      <c r="E120" s="90"/>
      <c r="F120" s="41">
        <f>F118+F119</f>
        <v>1877081</v>
      </c>
    </row>
    <row r="126">
      <c r="A126" s="52" t="s">
        <v>122</v>
      </c>
    </row>
    <row r="127">
      <c r="A127" s="53"/>
      <c r="B127" s="53"/>
      <c r="C127" s="53"/>
      <c r="D127" s="53"/>
      <c r="E127" s="53"/>
      <c r="F127" s="53"/>
    </row>
    <row r="128">
      <c r="A128" s="9" t="s">
        <v>4</v>
      </c>
      <c r="B128" s="9" t="s">
        <v>5</v>
      </c>
      <c r="C128" s="9" t="s">
        <v>6</v>
      </c>
      <c r="D128" s="9" t="s">
        <v>7</v>
      </c>
      <c r="E128" s="9" t="s">
        <v>8</v>
      </c>
      <c r="F128" s="9" t="s">
        <v>9</v>
      </c>
    </row>
    <row r="129">
      <c r="A129" s="13">
        <v>1.0</v>
      </c>
      <c r="B129" s="54" t="s">
        <v>123</v>
      </c>
      <c r="C129" s="55">
        <v>46174.0</v>
      </c>
      <c r="D129" s="22">
        <v>37.58</v>
      </c>
      <c r="E129" s="56"/>
      <c r="F129" s="28"/>
    </row>
    <row r="130">
      <c r="A130" s="30" t="s">
        <v>113</v>
      </c>
      <c r="B130" s="31"/>
      <c r="C130" s="32"/>
      <c r="D130" s="24">
        <f>round(D129*10%,2)</f>
        <v>3.76</v>
      </c>
      <c r="E130" s="57"/>
      <c r="F130" s="28"/>
    </row>
    <row r="131">
      <c r="A131" s="30" t="s">
        <v>106</v>
      </c>
      <c r="B131" s="31"/>
      <c r="C131" s="32"/>
      <c r="D131" s="24">
        <f>round(D129*10%,2)</f>
        <v>3.76</v>
      </c>
      <c r="E131" s="57"/>
      <c r="F131" s="28"/>
    </row>
    <row r="132">
      <c r="A132" s="33" t="s">
        <v>9</v>
      </c>
      <c r="B132" s="31"/>
      <c r="C132" s="32"/>
      <c r="D132" s="39">
        <f>D129-D130+D131</f>
        <v>37.58</v>
      </c>
      <c r="E132" s="90">
        <v>26466.0</v>
      </c>
      <c r="F132" s="41">
        <f>round(D132*E132,0)</f>
        <v>994592</v>
      </c>
    </row>
    <row r="133">
      <c r="A133" s="33" t="s">
        <v>26</v>
      </c>
      <c r="B133" s="31"/>
      <c r="C133" s="32"/>
      <c r="D133" s="39"/>
      <c r="E133" s="90"/>
      <c r="F133" s="41">
        <f>round(F132*10%,0)</f>
        <v>99459</v>
      </c>
    </row>
    <row r="134">
      <c r="A134" s="33" t="s">
        <v>16</v>
      </c>
      <c r="B134" s="31"/>
      <c r="C134" s="32"/>
      <c r="D134" s="39"/>
      <c r="E134" s="90"/>
      <c r="F134" s="41">
        <f>F132+F133</f>
        <v>1094051</v>
      </c>
    </row>
    <row r="140">
      <c r="A140" s="52" t="s">
        <v>122</v>
      </c>
    </row>
    <row r="141">
      <c r="A141" s="53"/>
      <c r="B141" s="53"/>
      <c r="C141" s="53"/>
      <c r="D141" s="53"/>
      <c r="E141" s="53"/>
      <c r="F141" s="53"/>
    </row>
    <row r="142">
      <c r="A142" s="9" t="s">
        <v>4</v>
      </c>
      <c r="B142" s="9" t="s">
        <v>5</v>
      </c>
      <c r="C142" s="9" t="s">
        <v>6</v>
      </c>
      <c r="D142" s="9" t="s">
        <v>7</v>
      </c>
      <c r="E142" s="9" t="s">
        <v>8</v>
      </c>
      <c r="F142" s="9" t="s">
        <v>9</v>
      </c>
    </row>
    <row r="143">
      <c r="A143" s="13">
        <v>1.0</v>
      </c>
      <c r="B143" s="54" t="s">
        <v>123</v>
      </c>
      <c r="C143" s="55">
        <v>46204.0</v>
      </c>
      <c r="D143" s="22">
        <v>6.0</v>
      </c>
      <c r="E143" s="56"/>
      <c r="F143" s="28"/>
    </row>
    <row r="144">
      <c r="A144" s="30" t="s">
        <v>113</v>
      </c>
      <c r="B144" s="31"/>
      <c r="C144" s="32"/>
      <c r="D144" s="24">
        <f>round(D143*10%,2)</f>
        <v>0.6</v>
      </c>
      <c r="E144" s="57"/>
      <c r="F144" s="28"/>
    </row>
    <row r="145">
      <c r="A145" s="30" t="s">
        <v>106</v>
      </c>
      <c r="B145" s="31"/>
      <c r="C145" s="32"/>
      <c r="D145" s="24">
        <f>round(D143*10%,2)</f>
        <v>0.6</v>
      </c>
      <c r="E145" s="57"/>
      <c r="F145" s="28"/>
    </row>
    <row r="146">
      <c r="A146" s="33" t="s">
        <v>9</v>
      </c>
      <c r="B146" s="31"/>
      <c r="C146" s="32"/>
      <c r="D146" s="39">
        <f>D143-D144+D145</f>
        <v>6</v>
      </c>
      <c r="E146" s="90">
        <v>26475.0</v>
      </c>
      <c r="F146" s="41">
        <f>round(D146*E146,0)</f>
        <v>158850</v>
      </c>
    </row>
    <row r="147">
      <c r="A147" s="33" t="s">
        <v>26</v>
      </c>
      <c r="B147" s="31"/>
      <c r="C147" s="32"/>
      <c r="D147" s="39"/>
      <c r="E147" s="90"/>
      <c r="F147" s="41">
        <f>round(F146*10%,0)</f>
        <v>15885</v>
      </c>
    </row>
    <row r="148">
      <c r="A148" s="33" t="s">
        <v>16</v>
      </c>
      <c r="B148" s="31"/>
      <c r="C148" s="32"/>
      <c r="D148" s="39"/>
      <c r="E148" s="90"/>
      <c r="F148" s="41">
        <f>F146+F147</f>
        <v>174735</v>
      </c>
    </row>
  </sheetData>
  <mergeCells count="66">
    <mergeCell ref="A116:C116"/>
    <mergeCell ref="A117:C117"/>
    <mergeCell ref="A118:C118"/>
    <mergeCell ref="A119:C119"/>
    <mergeCell ref="A120:C120"/>
    <mergeCell ref="A126:F126"/>
    <mergeCell ref="A130:C130"/>
    <mergeCell ref="A146:C146"/>
    <mergeCell ref="A147:C147"/>
    <mergeCell ref="A148:C148"/>
    <mergeCell ref="A131:C131"/>
    <mergeCell ref="A132:C132"/>
    <mergeCell ref="A133:C133"/>
    <mergeCell ref="A134:C134"/>
    <mergeCell ref="A140:F140"/>
    <mergeCell ref="A144:C144"/>
    <mergeCell ref="A145:C145"/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29:F29"/>
    <mergeCell ref="A33:C33"/>
    <mergeCell ref="A34:C34"/>
    <mergeCell ref="A35:C35"/>
    <mergeCell ref="A36:C36"/>
    <mergeCell ref="A37:C37"/>
    <mergeCell ref="A43:F43"/>
    <mergeCell ref="A47:C47"/>
    <mergeCell ref="A48:C48"/>
    <mergeCell ref="A49:C49"/>
    <mergeCell ref="A50:C50"/>
    <mergeCell ref="A51:C51"/>
    <mergeCell ref="A56:F56"/>
    <mergeCell ref="A60:C60"/>
    <mergeCell ref="A61:C61"/>
    <mergeCell ref="A62:C62"/>
    <mergeCell ref="A63:C63"/>
    <mergeCell ref="A64:C64"/>
    <mergeCell ref="A70:F70"/>
    <mergeCell ref="A74:C74"/>
    <mergeCell ref="A75:C75"/>
    <mergeCell ref="A76:C76"/>
    <mergeCell ref="A77:C77"/>
    <mergeCell ref="A78:C78"/>
    <mergeCell ref="A84:F84"/>
    <mergeCell ref="A88:C88"/>
    <mergeCell ref="A89:C89"/>
    <mergeCell ref="A90:C90"/>
    <mergeCell ref="A91:C91"/>
    <mergeCell ref="A92:C92"/>
    <mergeCell ref="A98:F98"/>
    <mergeCell ref="A102:C102"/>
    <mergeCell ref="A103:C103"/>
    <mergeCell ref="A104:C104"/>
    <mergeCell ref="A105:C105"/>
    <mergeCell ref="A106:C106"/>
    <mergeCell ref="A112:F112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9.63"/>
    <col customWidth="1" min="3" max="3" width="11.63"/>
    <col customWidth="1" min="4" max="4" width="21.0"/>
    <col customWidth="1" min="5" max="5" width="11.75"/>
    <col customWidth="1" min="6" max="6" width="18.63"/>
  </cols>
  <sheetData>
    <row r="1">
      <c r="A1" s="52" t="s">
        <v>124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125</v>
      </c>
      <c r="C4" s="55">
        <v>45931.0</v>
      </c>
      <c r="D4" s="22">
        <v>3343.49</v>
      </c>
      <c r="E4" s="56"/>
      <c r="F4" s="28"/>
    </row>
    <row r="5">
      <c r="A5" s="30" t="s">
        <v>126</v>
      </c>
      <c r="B5" s="31"/>
      <c r="C5" s="32"/>
      <c r="D5" s="24">
        <f>round(D4*12%,2)</f>
        <v>401.22</v>
      </c>
      <c r="E5" s="57"/>
      <c r="F5" s="28"/>
    </row>
    <row r="6">
      <c r="A6" s="30" t="s">
        <v>106</v>
      </c>
      <c r="B6" s="31"/>
      <c r="C6" s="32"/>
      <c r="D6" s="24">
        <f>round(D4*10%,2)</f>
        <v>334.35</v>
      </c>
      <c r="E6" s="57"/>
      <c r="F6" s="28"/>
    </row>
    <row r="7">
      <c r="A7" s="33" t="s">
        <v>9</v>
      </c>
      <c r="B7" s="31"/>
      <c r="C7" s="32"/>
      <c r="D7" s="39">
        <f>D4-D5+D6</f>
        <v>3276.62</v>
      </c>
      <c r="E7" s="90">
        <v>26347.0</v>
      </c>
      <c r="F7" s="41">
        <f>round(D7*E7,0)</f>
        <v>86329107</v>
      </c>
    </row>
    <row r="8">
      <c r="A8" s="33" t="s">
        <v>26</v>
      </c>
      <c r="B8" s="31"/>
      <c r="C8" s="32"/>
      <c r="D8" s="39"/>
      <c r="E8" s="90"/>
      <c r="F8" s="41">
        <f>round(F7*10%,0)</f>
        <v>8632911</v>
      </c>
    </row>
    <row r="9">
      <c r="A9" s="33" t="s">
        <v>16</v>
      </c>
      <c r="B9" s="31"/>
      <c r="C9" s="32"/>
      <c r="D9" s="39"/>
      <c r="E9" s="90"/>
      <c r="F9" s="41">
        <f>F7+F8</f>
        <v>94962018</v>
      </c>
    </row>
    <row r="14">
      <c r="A14" s="52" t="s">
        <v>124</v>
      </c>
    </row>
    <row r="15">
      <c r="A15" s="53"/>
      <c r="B15" s="53"/>
      <c r="C15" s="53"/>
      <c r="D15" s="53"/>
      <c r="E15" s="53"/>
      <c r="F15" s="53"/>
    </row>
    <row r="16">
      <c r="A16" s="9" t="s">
        <v>4</v>
      </c>
      <c r="B16" s="9" t="s">
        <v>5</v>
      </c>
      <c r="C16" s="9" t="s">
        <v>6</v>
      </c>
      <c r="D16" s="9" t="s">
        <v>7</v>
      </c>
      <c r="E16" s="9" t="s">
        <v>8</v>
      </c>
      <c r="F16" s="9" t="s">
        <v>9</v>
      </c>
    </row>
    <row r="17">
      <c r="A17" s="13">
        <v>1.0</v>
      </c>
      <c r="B17" s="54" t="s">
        <v>125</v>
      </c>
      <c r="C17" s="55">
        <v>45962.0</v>
      </c>
      <c r="D17" s="22">
        <f>3262.13-500</f>
        <v>2762.13</v>
      </c>
      <c r="E17" s="56"/>
      <c r="F17" s="28"/>
    </row>
    <row r="18">
      <c r="A18" s="30" t="s">
        <v>126</v>
      </c>
      <c r="B18" s="31"/>
      <c r="C18" s="32"/>
      <c r="D18" s="24">
        <f>round(D17*12%,2)</f>
        <v>331.46</v>
      </c>
      <c r="E18" s="57"/>
      <c r="F18" s="28"/>
    </row>
    <row r="19">
      <c r="A19" s="30" t="s">
        <v>106</v>
      </c>
      <c r="B19" s="31"/>
      <c r="C19" s="32"/>
      <c r="D19" s="24">
        <f>round(D17*10%,2)</f>
        <v>276.21</v>
      </c>
      <c r="E19" s="57"/>
      <c r="F19" s="28"/>
    </row>
    <row r="20">
      <c r="A20" s="33" t="s">
        <v>9</v>
      </c>
      <c r="B20" s="31"/>
      <c r="C20" s="32"/>
      <c r="D20" s="39">
        <f>D17-D18+D19</f>
        <v>2706.88</v>
      </c>
      <c r="E20" s="90">
        <v>26412.0</v>
      </c>
      <c r="F20" s="41">
        <f>round(D20*E20,0)</f>
        <v>71494115</v>
      </c>
    </row>
    <row r="21">
      <c r="A21" s="33" t="s">
        <v>26</v>
      </c>
      <c r="B21" s="31"/>
      <c r="C21" s="32"/>
      <c r="D21" s="39"/>
      <c r="E21" s="90"/>
      <c r="F21" s="41">
        <f>round(F20*10%,0)</f>
        <v>7149412</v>
      </c>
    </row>
    <row r="22">
      <c r="A22" s="33" t="s">
        <v>16</v>
      </c>
      <c r="B22" s="31"/>
      <c r="C22" s="32"/>
      <c r="D22" s="39"/>
      <c r="E22" s="90"/>
      <c r="F22" s="41">
        <f>F20+F21</f>
        <v>78643527</v>
      </c>
    </row>
    <row r="28">
      <c r="A28" s="52" t="s">
        <v>124</v>
      </c>
    </row>
    <row r="29">
      <c r="A29" s="53"/>
      <c r="B29" s="53"/>
      <c r="C29" s="53"/>
      <c r="D29" s="53"/>
      <c r="E29" s="53"/>
      <c r="F29" s="53"/>
    </row>
    <row r="30">
      <c r="A30" s="9" t="s">
        <v>4</v>
      </c>
      <c r="B30" s="9" t="s">
        <v>5</v>
      </c>
      <c r="C30" s="9" t="s">
        <v>6</v>
      </c>
      <c r="D30" s="9" t="s">
        <v>7</v>
      </c>
      <c r="E30" s="9" t="s">
        <v>8</v>
      </c>
      <c r="F30" s="9" t="s">
        <v>9</v>
      </c>
    </row>
    <row r="31">
      <c r="A31" s="13">
        <v>1.0</v>
      </c>
      <c r="B31" s="54" t="s">
        <v>125</v>
      </c>
      <c r="C31" s="55">
        <v>45992.0</v>
      </c>
      <c r="D31" s="22">
        <v>3296.54</v>
      </c>
      <c r="E31" s="56"/>
      <c r="F31" s="28"/>
    </row>
    <row r="32">
      <c r="A32" s="30" t="s">
        <v>126</v>
      </c>
      <c r="B32" s="31"/>
      <c r="C32" s="32"/>
      <c r="D32" s="24">
        <f>round(D31*12%,2)</f>
        <v>395.58</v>
      </c>
      <c r="E32" s="57"/>
      <c r="F32" s="28"/>
    </row>
    <row r="33">
      <c r="A33" s="30" t="s">
        <v>106</v>
      </c>
      <c r="B33" s="31"/>
      <c r="C33" s="32"/>
      <c r="D33" s="24">
        <f>round(D31*10%,2)</f>
        <v>329.65</v>
      </c>
      <c r="E33" s="57"/>
      <c r="F33" s="28"/>
    </row>
    <row r="34">
      <c r="A34" s="33" t="s">
        <v>9</v>
      </c>
      <c r="B34" s="31"/>
      <c r="C34" s="32"/>
      <c r="D34" s="39">
        <f>D31-D32+D33</f>
        <v>3230.61</v>
      </c>
      <c r="E34" s="90">
        <v>26377.0</v>
      </c>
      <c r="F34" s="41">
        <f>round(D34*E34,0)</f>
        <v>85213800</v>
      </c>
    </row>
    <row r="35">
      <c r="A35" s="33" t="s">
        <v>26</v>
      </c>
      <c r="B35" s="31"/>
      <c r="C35" s="32"/>
      <c r="D35" s="39"/>
      <c r="E35" s="90"/>
      <c r="F35" s="41">
        <f>round(F34*10%,0)</f>
        <v>8521380</v>
      </c>
    </row>
    <row r="36">
      <c r="A36" s="33" t="s">
        <v>16</v>
      </c>
      <c r="B36" s="31"/>
      <c r="C36" s="32"/>
      <c r="D36" s="39"/>
      <c r="E36" s="90"/>
      <c r="F36" s="41">
        <f>F34+F35</f>
        <v>93735180</v>
      </c>
    </row>
    <row r="41">
      <c r="A41" s="52" t="s">
        <v>124</v>
      </c>
    </row>
    <row r="42">
      <c r="A42" s="53"/>
      <c r="B42" s="53"/>
      <c r="C42" s="53"/>
      <c r="D42" s="53"/>
      <c r="E42" s="53"/>
      <c r="F42" s="53"/>
    </row>
    <row r="43">
      <c r="A43" s="9" t="s">
        <v>4</v>
      </c>
      <c r="B43" s="9" t="s">
        <v>5</v>
      </c>
      <c r="C43" s="9" t="s">
        <v>6</v>
      </c>
      <c r="D43" s="9" t="s">
        <v>7</v>
      </c>
      <c r="E43" s="9" t="s">
        <v>8</v>
      </c>
      <c r="F43" s="9" t="s">
        <v>9</v>
      </c>
    </row>
    <row r="44">
      <c r="A44" s="13">
        <v>1.0</v>
      </c>
      <c r="B44" s="54" t="s">
        <v>125</v>
      </c>
      <c r="C44" s="55">
        <v>46023.0</v>
      </c>
      <c r="D44" s="22">
        <v>3571.69</v>
      </c>
      <c r="E44" s="56"/>
      <c r="F44" s="28"/>
    </row>
    <row r="45">
      <c r="A45" s="30" t="s">
        <v>126</v>
      </c>
      <c r="B45" s="31"/>
      <c r="C45" s="32"/>
      <c r="D45" s="24">
        <f>round(D44*12%,2)</f>
        <v>428.6</v>
      </c>
      <c r="E45" s="57"/>
      <c r="F45" s="28"/>
    </row>
    <row r="46">
      <c r="A46" s="30" t="s">
        <v>106</v>
      </c>
      <c r="B46" s="31"/>
      <c r="C46" s="32"/>
      <c r="D46" s="24">
        <f>round(D44*10%,2)</f>
        <v>357.17</v>
      </c>
      <c r="E46" s="57"/>
      <c r="F46" s="28"/>
    </row>
    <row r="47">
      <c r="A47" s="33" t="s">
        <v>9</v>
      </c>
      <c r="B47" s="31"/>
      <c r="C47" s="32"/>
      <c r="D47" s="39">
        <f>D44-D45+D46</f>
        <v>3500.26</v>
      </c>
      <c r="E47" s="90">
        <v>26145.0</v>
      </c>
      <c r="F47" s="41">
        <f>round(D47*E47,0)</f>
        <v>91514298</v>
      </c>
    </row>
    <row r="48">
      <c r="A48" s="33" t="s">
        <v>26</v>
      </c>
      <c r="B48" s="31"/>
      <c r="C48" s="32"/>
      <c r="D48" s="39"/>
      <c r="E48" s="90"/>
      <c r="F48" s="41">
        <f>round(F47*10%,0)</f>
        <v>9151430</v>
      </c>
    </row>
    <row r="49">
      <c r="A49" s="33" t="s">
        <v>16</v>
      </c>
      <c r="B49" s="31"/>
      <c r="C49" s="32"/>
      <c r="D49" s="39"/>
      <c r="E49" s="90"/>
      <c r="F49" s="41">
        <f>F47+F48</f>
        <v>100665728</v>
      </c>
    </row>
    <row r="54">
      <c r="A54" s="52" t="s">
        <v>124</v>
      </c>
    </row>
    <row r="55">
      <c r="A55" s="53"/>
      <c r="B55" s="53"/>
      <c r="C55" s="53"/>
      <c r="D55" s="53"/>
      <c r="E55" s="53"/>
      <c r="F55" s="53"/>
    </row>
    <row r="56">
      <c r="A56" s="9" t="s">
        <v>4</v>
      </c>
      <c r="B56" s="9" t="s">
        <v>5</v>
      </c>
      <c r="C56" s="9" t="s">
        <v>6</v>
      </c>
      <c r="D56" s="9" t="s">
        <v>7</v>
      </c>
      <c r="E56" s="9" t="s">
        <v>8</v>
      </c>
      <c r="F56" s="9" t="s">
        <v>9</v>
      </c>
    </row>
    <row r="57">
      <c r="A57" s="13">
        <v>1.0</v>
      </c>
      <c r="B57" s="54" t="s">
        <v>125</v>
      </c>
      <c r="C57" s="55">
        <v>46054.0</v>
      </c>
      <c r="D57" s="22">
        <v>4075.67</v>
      </c>
      <c r="E57" s="56"/>
      <c r="F57" s="28"/>
    </row>
    <row r="58">
      <c r="A58" s="30" t="s">
        <v>126</v>
      </c>
      <c r="B58" s="31"/>
      <c r="C58" s="32"/>
      <c r="D58" s="24">
        <f>round(D57*12%,2)</f>
        <v>489.08</v>
      </c>
      <c r="E58" s="57"/>
      <c r="F58" s="28"/>
    </row>
    <row r="59">
      <c r="A59" s="30" t="s">
        <v>106</v>
      </c>
      <c r="B59" s="31"/>
      <c r="C59" s="32"/>
      <c r="D59" s="24">
        <f>round(D57*10%,2)</f>
        <v>407.57</v>
      </c>
      <c r="E59" s="57"/>
      <c r="F59" s="28"/>
    </row>
    <row r="60">
      <c r="A60" s="33" t="s">
        <v>9</v>
      </c>
      <c r="B60" s="31"/>
      <c r="C60" s="32"/>
      <c r="D60" s="39">
        <f>D57-D58+D59</f>
        <v>3994.16</v>
      </c>
      <c r="E60" s="90">
        <v>26240.0</v>
      </c>
      <c r="F60" s="41">
        <f>round(D60*E60,0)</f>
        <v>104806758</v>
      </c>
    </row>
    <row r="61">
      <c r="A61" s="33" t="s">
        <v>26</v>
      </c>
      <c r="B61" s="31"/>
      <c r="C61" s="32"/>
      <c r="D61" s="39"/>
      <c r="E61" s="90"/>
      <c r="F61" s="41">
        <f>round(F60*10%,0)</f>
        <v>10480676</v>
      </c>
    </row>
    <row r="62">
      <c r="A62" s="33" t="s">
        <v>16</v>
      </c>
      <c r="B62" s="31"/>
      <c r="C62" s="32"/>
      <c r="D62" s="39"/>
      <c r="E62" s="90"/>
      <c r="F62" s="41">
        <f>F60+F61</f>
        <v>115287434</v>
      </c>
    </row>
    <row r="68">
      <c r="A68" s="52" t="s">
        <v>124</v>
      </c>
    </row>
    <row r="69">
      <c r="A69" s="53"/>
      <c r="B69" s="53"/>
      <c r="C69" s="53"/>
      <c r="D69" s="53"/>
      <c r="E69" s="53"/>
      <c r="F69" s="53"/>
    </row>
    <row r="70">
      <c r="A70" s="9" t="s">
        <v>4</v>
      </c>
      <c r="B70" s="9" t="s">
        <v>5</v>
      </c>
      <c r="C70" s="9" t="s">
        <v>6</v>
      </c>
      <c r="D70" s="9" t="s">
        <v>7</v>
      </c>
      <c r="E70" s="9" t="s">
        <v>8</v>
      </c>
      <c r="F70" s="9" t="s">
        <v>9</v>
      </c>
    </row>
    <row r="71">
      <c r="A71" s="13">
        <v>1.0</v>
      </c>
      <c r="B71" s="54" t="s">
        <v>125</v>
      </c>
      <c r="C71" s="55">
        <v>46082.0</v>
      </c>
      <c r="D71" s="22">
        <v>4254.88</v>
      </c>
      <c r="E71" s="56"/>
      <c r="F71" s="28"/>
    </row>
    <row r="72">
      <c r="A72" s="30" t="s">
        <v>126</v>
      </c>
      <c r="B72" s="31"/>
      <c r="C72" s="32"/>
      <c r="D72" s="24">
        <f>round(D71*12%,2)</f>
        <v>510.59</v>
      </c>
      <c r="E72" s="57"/>
      <c r="F72" s="28"/>
    </row>
    <row r="73">
      <c r="A73" s="30" t="s">
        <v>106</v>
      </c>
      <c r="B73" s="31"/>
      <c r="C73" s="32"/>
      <c r="D73" s="24">
        <f>round(D71*10%,2)</f>
        <v>425.49</v>
      </c>
      <c r="E73" s="57"/>
      <c r="F73" s="28"/>
    </row>
    <row r="74">
      <c r="A74" s="33" t="s">
        <v>9</v>
      </c>
      <c r="B74" s="31"/>
      <c r="C74" s="32"/>
      <c r="D74" s="39">
        <f>D71-D72+D73</f>
        <v>4169.78</v>
      </c>
      <c r="E74" s="90">
        <v>26357.0</v>
      </c>
      <c r="F74" s="41">
        <f>round(D74*E74,0)</f>
        <v>109902891</v>
      </c>
    </row>
    <row r="75">
      <c r="A75" s="33" t="s">
        <v>26</v>
      </c>
      <c r="B75" s="31"/>
      <c r="C75" s="32"/>
      <c r="D75" s="39"/>
      <c r="E75" s="90"/>
      <c r="F75" s="41">
        <f>round(F74*10%,0)</f>
        <v>10990289</v>
      </c>
    </row>
    <row r="76">
      <c r="A76" s="33" t="s">
        <v>16</v>
      </c>
      <c r="B76" s="31"/>
      <c r="C76" s="32"/>
      <c r="D76" s="39"/>
      <c r="E76" s="90"/>
      <c r="F76" s="41">
        <f>F74+F75</f>
        <v>120893180</v>
      </c>
    </row>
    <row r="81">
      <c r="A81" s="52" t="s">
        <v>124</v>
      </c>
    </row>
    <row r="82">
      <c r="A82" s="53"/>
      <c r="B82" s="53"/>
      <c r="C82" s="53"/>
      <c r="D82" s="53"/>
      <c r="E82" s="53"/>
      <c r="F82" s="53"/>
    </row>
    <row r="83">
      <c r="A83" s="9" t="s">
        <v>4</v>
      </c>
      <c r="B83" s="9" t="s">
        <v>5</v>
      </c>
      <c r="C83" s="9" t="s">
        <v>6</v>
      </c>
      <c r="D83" s="9" t="s">
        <v>7</v>
      </c>
      <c r="E83" s="9" t="s">
        <v>8</v>
      </c>
      <c r="F83" s="9" t="s">
        <v>9</v>
      </c>
    </row>
    <row r="84">
      <c r="A84" s="13">
        <v>1.0</v>
      </c>
      <c r="B84" s="54" t="s">
        <v>125</v>
      </c>
      <c r="C84" s="55">
        <v>46113.0</v>
      </c>
      <c r="D84" s="22">
        <v>4328.21</v>
      </c>
      <c r="E84" s="56"/>
      <c r="F84" s="28"/>
    </row>
    <row r="85">
      <c r="A85" s="30" t="s">
        <v>126</v>
      </c>
      <c r="B85" s="31"/>
      <c r="C85" s="32"/>
      <c r="D85" s="24">
        <f>round(D84*12%,2)</f>
        <v>519.39</v>
      </c>
      <c r="E85" s="57"/>
      <c r="F85" s="28"/>
    </row>
    <row r="86">
      <c r="A86" s="30" t="s">
        <v>106</v>
      </c>
      <c r="B86" s="31"/>
      <c r="C86" s="32"/>
      <c r="D86" s="24">
        <f>round(D84*10%,2)</f>
        <v>432.82</v>
      </c>
      <c r="E86" s="57"/>
      <c r="F86" s="28"/>
    </row>
    <row r="87">
      <c r="A87" s="33" t="s">
        <v>9</v>
      </c>
      <c r="B87" s="31"/>
      <c r="C87" s="32"/>
      <c r="D87" s="39">
        <f>D84-D85+D86</f>
        <v>4241.64</v>
      </c>
      <c r="E87" s="90">
        <v>26368.0</v>
      </c>
      <c r="F87" s="41">
        <f>round(D87*E87,0)</f>
        <v>111843564</v>
      </c>
    </row>
    <row r="88">
      <c r="A88" s="33" t="s">
        <v>26</v>
      </c>
      <c r="B88" s="31"/>
      <c r="C88" s="32"/>
      <c r="D88" s="39"/>
      <c r="E88" s="90"/>
      <c r="F88" s="41">
        <f>round(F87*10%,0)</f>
        <v>11184356</v>
      </c>
    </row>
    <row r="89">
      <c r="A89" s="33" t="s">
        <v>16</v>
      </c>
      <c r="B89" s="31"/>
      <c r="C89" s="32"/>
      <c r="D89" s="39"/>
      <c r="E89" s="90"/>
      <c r="F89" s="41">
        <f>F87+F88</f>
        <v>123027920</v>
      </c>
    </row>
    <row r="95">
      <c r="A95" s="52" t="s">
        <v>124</v>
      </c>
    </row>
    <row r="96">
      <c r="A96" s="53"/>
      <c r="B96" s="53"/>
      <c r="C96" s="53"/>
      <c r="D96" s="53"/>
      <c r="E96" s="53"/>
      <c r="F96" s="53"/>
    </row>
    <row r="97">
      <c r="A97" s="9" t="s">
        <v>4</v>
      </c>
      <c r="B97" s="9" t="s">
        <v>5</v>
      </c>
      <c r="C97" s="9" t="s">
        <v>6</v>
      </c>
      <c r="D97" s="9" t="s">
        <v>7</v>
      </c>
      <c r="E97" s="9" t="s">
        <v>8</v>
      </c>
      <c r="F97" s="9" t="s">
        <v>9</v>
      </c>
    </row>
    <row r="98">
      <c r="A98" s="13">
        <v>1.0</v>
      </c>
      <c r="B98" s="54" t="s">
        <v>125</v>
      </c>
      <c r="C98" s="55">
        <v>46143.0</v>
      </c>
      <c r="D98" s="22">
        <v>4571.97</v>
      </c>
      <c r="E98" s="56"/>
      <c r="F98" s="28"/>
    </row>
    <row r="99">
      <c r="A99" s="30" t="s">
        <v>126</v>
      </c>
      <c r="B99" s="31"/>
      <c r="C99" s="32"/>
      <c r="D99" s="24">
        <f>round(D98*12%,2)</f>
        <v>548.64</v>
      </c>
      <c r="E99" s="57"/>
      <c r="F99" s="28"/>
    </row>
    <row r="100">
      <c r="A100" s="30" t="s">
        <v>106</v>
      </c>
      <c r="B100" s="31"/>
      <c r="C100" s="32"/>
      <c r="D100" s="24">
        <f>round(D98*10%,2)</f>
        <v>457.2</v>
      </c>
      <c r="E100" s="57"/>
      <c r="F100" s="28"/>
    </row>
    <row r="101">
      <c r="A101" s="33" t="s">
        <v>9</v>
      </c>
      <c r="B101" s="31"/>
      <c r="C101" s="32"/>
      <c r="D101" s="39">
        <f>D98-D99+D100</f>
        <v>4480.53</v>
      </c>
      <c r="E101" s="90">
        <v>26395.0</v>
      </c>
      <c r="F101" s="41">
        <f>round(D101*E101,0)</f>
        <v>118263589</v>
      </c>
    </row>
    <row r="102">
      <c r="A102" s="33" t="s">
        <v>26</v>
      </c>
      <c r="B102" s="31"/>
      <c r="C102" s="32"/>
      <c r="D102" s="39"/>
      <c r="E102" s="90"/>
      <c r="F102" s="41">
        <f>round(F101*10%,0)</f>
        <v>11826359</v>
      </c>
    </row>
    <row r="103">
      <c r="A103" s="33" t="s">
        <v>16</v>
      </c>
      <c r="B103" s="31"/>
      <c r="C103" s="32"/>
      <c r="D103" s="39"/>
      <c r="E103" s="90"/>
      <c r="F103" s="41">
        <f>F101+F102</f>
        <v>130089948</v>
      </c>
    </row>
    <row r="109">
      <c r="A109" s="52" t="s">
        <v>124</v>
      </c>
    </row>
    <row r="110">
      <c r="A110" s="53"/>
      <c r="B110" s="53"/>
      <c r="C110" s="53"/>
      <c r="D110" s="53"/>
      <c r="E110" s="53"/>
      <c r="F110" s="53"/>
    </row>
    <row r="111">
      <c r="A111" s="9" t="s">
        <v>4</v>
      </c>
      <c r="B111" s="9" t="s">
        <v>5</v>
      </c>
      <c r="C111" s="9" t="s">
        <v>6</v>
      </c>
      <c r="D111" s="9" t="s">
        <v>7</v>
      </c>
      <c r="E111" s="9" t="s">
        <v>8</v>
      </c>
      <c r="F111" s="9" t="s">
        <v>9</v>
      </c>
    </row>
    <row r="112">
      <c r="A112" s="13">
        <v>1.0</v>
      </c>
      <c r="B112" s="54" t="s">
        <v>125</v>
      </c>
      <c r="C112" s="55">
        <v>46174.0</v>
      </c>
      <c r="D112" s="22">
        <v>4629.07</v>
      </c>
      <c r="E112" s="56"/>
      <c r="F112" s="28"/>
    </row>
    <row r="113">
      <c r="A113" s="30" t="s">
        <v>126</v>
      </c>
      <c r="B113" s="31"/>
      <c r="C113" s="32"/>
      <c r="D113" s="24">
        <f>round(D112*12%,2)</f>
        <v>555.49</v>
      </c>
      <c r="E113" s="57"/>
      <c r="F113" s="28"/>
    </row>
    <row r="114">
      <c r="A114" s="30" t="s">
        <v>106</v>
      </c>
      <c r="B114" s="31"/>
      <c r="C114" s="32"/>
      <c r="D114" s="24">
        <f>round(D112*10%,2)</f>
        <v>462.91</v>
      </c>
      <c r="E114" s="57"/>
      <c r="F114" s="28"/>
    </row>
    <row r="115">
      <c r="A115" s="33" t="s">
        <v>9</v>
      </c>
      <c r="B115" s="31"/>
      <c r="C115" s="32"/>
      <c r="D115" s="39">
        <f>D112-D113+D114</f>
        <v>4536.49</v>
      </c>
      <c r="E115" s="90">
        <v>26466.0</v>
      </c>
      <c r="F115" s="41">
        <f>round(D115*E115,0)</f>
        <v>120062744</v>
      </c>
    </row>
    <row r="116">
      <c r="A116" s="33" t="s">
        <v>26</v>
      </c>
      <c r="B116" s="31"/>
      <c r="C116" s="32"/>
      <c r="D116" s="39"/>
      <c r="E116" s="90"/>
      <c r="F116" s="41">
        <f>round(F115*10%,0)</f>
        <v>12006274</v>
      </c>
    </row>
    <row r="117">
      <c r="A117" s="33" t="s">
        <v>16</v>
      </c>
      <c r="B117" s="31"/>
      <c r="C117" s="32"/>
      <c r="D117" s="39"/>
      <c r="E117" s="90"/>
      <c r="F117" s="41">
        <f>F115+F116</f>
        <v>132069018</v>
      </c>
    </row>
    <row r="122">
      <c r="A122" s="52" t="s">
        <v>124</v>
      </c>
    </row>
    <row r="123">
      <c r="A123" s="53"/>
      <c r="B123" s="53"/>
      <c r="C123" s="53"/>
      <c r="D123" s="53"/>
      <c r="E123" s="53"/>
      <c r="F123" s="53"/>
    </row>
    <row r="124">
      <c r="A124" s="9" t="s">
        <v>4</v>
      </c>
      <c r="B124" s="9" t="s">
        <v>5</v>
      </c>
      <c r="C124" s="9" t="s">
        <v>6</v>
      </c>
      <c r="D124" s="9" t="s">
        <v>7</v>
      </c>
      <c r="E124" s="9" t="s">
        <v>8</v>
      </c>
      <c r="F124" s="9" t="s">
        <v>9</v>
      </c>
    </row>
    <row r="125">
      <c r="A125" s="13">
        <v>1.0</v>
      </c>
      <c r="B125" s="54" t="s">
        <v>125</v>
      </c>
      <c r="C125" s="55">
        <v>46204.0</v>
      </c>
      <c r="D125" s="22">
        <v>4627.6</v>
      </c>
      <c r="E125" s="56"/>
      <c r="F125" s="28"/>
    </row>
    <row r="126">
      <c r="A126" s="30" t="s">
        <v>126</v>
      </c>
      <c r="B126" s="31"/>
      <c r="C126" s="32"/>
      <c r="D126" s="24">
        <f>round(D125*12%,2)</f>
        <v>555.31</v>
      </c>
      <c r="E126" s="57"/>
      <c r="F126" s="28"/>
    </row>
    <row r="127">
      <c r="A127" s="30" t="s">
        <v>106</v>
      </c>
      <c r="B127" s="31"/>
      <c r="C127" s="32"/>
      <c r="D127" s="24">
        <f>round(D125*10%,2)</f>
        <v>462.76</v>
      </c>
      <c r="E127" s="57"/>
      <c r="F127" s="28"/>
    </row>
    <row r="128">
      <c r="A128" s="33" t="s">
        <v>9</v>
      </c>
      <c r="B128" s="31"/>
      <c r="C128" s="32"/>
      <c r="D128" s="39">
        <f>D125-D126+D127</f>
        <v>4535.05</v>
      </c>
      <c r="E128" s="90">
        <v>26475.0</v>
      </c>
      <c r="F128" s="41">
        <f>round(D128*E128,0)</f>
        <v>120065449</v>
      </c>
    </row>
    <row r="129">
      <c r="A129" s="33" t="s">
        <v>26</v>
      </c>
      <c r="B129" s="31"/>
      <c r="C129" s="32"/>
      <c r="D129" s="39"/>
      <c r="E129" s="90"/>
      <c r="F129" s="41">
        <f>round(F128*10%,0)</f>
        <v>12006545</v>
      </c>
    </row>
    <row r="130">
      <c r="A130" s="33" t="s">
        <v>16</v>
      </c>
      <c r="B130" s="31"/>
      <c r="C130" s="32"/>
      <c r="D130" s="39"/>
      <c r="E130" s="90"/>
      <c r="F130" s="41">
        <f>F128+F129</f>
        <v>132071994</v>
      </c>
    </row>
  </sheetData>
  <mergeCells count="60">
    <mergeCell ref="A127:C127"/>
    <mergeCell ref="A128:C128"/>
    <mergeCell ref="A129:C129"/>
    <mergeCell ref="A130:C130"/>
    <mergeCell ref="A113:C113"/>
    <mergeCell ref="A114:C114"/>
    <mergeCell ref="A115:C115"/>
    <mergeCell ref="A116:C116"/>
    <mergeCell ref="A117:C117"/>
    <mergeCell ref="A122:F122"/>
    <mergeCell ref="A126:C126"/>
    <mergeCell ref="A1:F1"/>
    <mergeCell ref="A5:C5"/>
    <mergeCell ref="A6:C6"/>
    <mergeCell ref="A7:C7"/>
    <mergeCell ref="A8:C8"/>
    <mergeCell ref="A9:C9"/>
    <mergeCell ref="A14:F14"/>
    <mergeCell ref="A18:C18"/>
    <mergeCell ref="A19:C19"/>
    <mergeCell ref="A20:C20"/>
    <mergeCell ref="A21:C21"/>
    <mergeCell ref="A22:C22"/>
    <mergeCell ref="A28:F28"/>
    <mergeCell ref="A32:C32"/>
    <mergeCell ref="A33:C33"/>
    <mergeCell ref="A34:C34"/>
    <mergeCell ref="A35:C35"/>
    <mergeCell ref="A36:C36"/>
    <mergeCell ref="A41:F41"/>
    <mergeCell ref="A45:C45"/>
    <mergeCell ref="A46:C46"/>
    <mergeCell ref="A47:C47"/>
    <mergeCell ref="A48:C48"/>
    <mergeCell ref="A49:C49"/>
    <mergeCell ref="A54:F54"/>
    <mergeCell ref="A58:C58"/>
    <mergeCell ref="A59:C59"/>
    <mergeCell ref="A60:C60"/>
    <mergeCell ref="A61:C61"/>
    <mergeCell ref="A62:C62"/>
    <mergeCell ref="A68:F68"/>
    <mergeCell ref="A72:C72"/>
    <mergeCell ref="A73:C73"/>
    <mergeCell ref="A74:C74"/>
    <mergeCell ref="A75:C75"/>
    <mergeCell ref="A76:C76"/>
    <mergeCell ref="A81:F81"/>
    <mergeCell ref="A85:C85"/>
    <mergeCell ref="A86:C86"/>
    <mergeCell ref="A87:C87"/>
    <mergeCell ref="A88:C88"/>
    <mergeCell ref="A89:C89"/>
    <mergeCell ref="A95:F95"/>
    <mergeCell ref="A99:C99"/>
    <mergeCell ref="A100:C100"/>
    <mergeCell ref="A101:C101"/>
    <mergeCell ref="A102:C102"/>
    <mergeCell ref="A103:C103"/>
    <mergeCell ref="A109:F109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9.63"/>
    <col customWidth="1" min="3" max="3" width="11.63"/>
    <col customWidth="1" min="4" max="4" width="21.0"/>
    <col customWidth="1" min="5" max="5" width="11.75"/>
    <col customWidth="1" min="6" max="6" width="18.63"/>
  </cols>
  <sheetData>
    <row r="1">
      <c r="A1" s="52" t="s">
        <v>127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128</v>
      </c>
      <c r="C4" s="55">
        <v>45931.0</v>
      </c>
      <c r="D4" s="22">
        <v>83.46</v>
      </c>
      <c r="E4" s="56"/>
      <c r="F4" s="28"/>
    </row>
    <row r="5">
      <c r="A5" s="30" t="s">
        <v>113</v>
      </c>
      <c r="B5" s="31"/>
      <c r="C5" s="32"/>
      <c r="D5" s="24">
        <f>round(D4*10%,2)</f>
        <v>8.35</v>
      </c>
      <c r="E5" s="57"/>
      <c r="F5" s="28"/>
    </row>
    <row r="6">
      <c r="A6" s="30" t="s">
        <v>106</v>
      </c>
      <c r="B6" s="31"/>
      <c r="C6" s="32"/>
      <c r="D6" s="24">
        <f>round(D4*10%,2)</f>
        <v>8.35</v>
      </c>
      <c r="E6" s="57"/>
      <c r="F6" s="28"/>
    </row>
    <row r="7">
      <c r="A7" s="33" t="s">
        <v>9</v>
      </c>
      <c r="B7" s="31"/>
      <c r="C7" s="32"/>
      <c r="D7" s="39">
        <f>D4-D5+D6</f>
        <v>83.46</v>
      </c>
      <c r="E7" s="90">
        <v>26347.0</v>
      </c>
      <c r="F7" s="41">
        <f>round(D7*E7,0)</f>
        <v>2198921</v>
      </c>
    </row>
    <row r="8">
      <c r="A8" s="33" t="s">
        <v>26</v>
      </c>
      <c r="B8" s="31"/>
      <c r="C8" s="32"/>
      <c r="D8" s="39"/>
      <c r="E8" s="90"/>
      <c r="F8" s="41">
        <f>round(F7*10%,0)</f>
        <v>219892</v>
      </c>
    </row>
    <row r="9">
      <c r="A9" s="33" t="s">
        <v>16</v>
      </c>
      <c r="B9" s="31"/>
      <c r="C9" s="32"/>
      <c r="D9" s="39"/>
      <c r="E9" s="90"/>
      <c r="F9" s="41">
        <f>F7+F8</f>
        <v>2418813</v>
      </c>
    </row>
    <row r="15">
      <c r="A15" s="52" t="s">
        <v>127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128</v>
      </c>
      <c r="C18" s="55">
        <v>45962.0</v>
      </c>
      <c r="D18" s="22">
        <v>83.46</v>
      </c>
      <c r="E18" s="56"/>
      <c r="F18" s="28"/>
    </row>
    <row r="19">
      <c r="A19" s="30" t="s">
        <v>113</v>
      </c>
      <c r="B19" s="31"/>
      <c r="C19" s="32"/>
      <c r="D19" s="24">
        <f>round(D18*10%,2)</f>
        <v>8.35</v>
      </c>
      <c r="E19" s="57"/>
      <c r="F19" s="28"/>
    </row>
    <row r="20">
      <c r="A20" s="30" t="s">
        <v>104</v>
      </c>
      <c r="B20" s="31"/>
      <c r="C20" s="32"/>
      <c r="D20" s="24">
        <f>round(D18*5.26%,2)</f>
        <v>4.39</v>
      </c>
      <c r="E20" s="57"/>
      <c r="F20" s="28"/>
    </row>
    <row r="21">
      <c r="A21" s="33" t="s">
        <v>9</v>
      </c>
      <c r="B21" s="31"/>
      <c r="C21" s="32"/>
      <c r="D21" s="39">
        <f>D18-D19+D20</f>
        <v>79.5</v>
      </c>
      <c r="E21" s="90">
        <v>26412.0</v>
      </c>
      <c r="F21" s="41">
        <f>round(D21*E21,0)</f>
        <v>2099754</v>
      </c>
    </row>
    <row r="22">
      <c r="A22" s="33" t="s">
        <v>26</v>
      </c>
      <c r="B22" s="31"/>
      <c r="C22" s="32"/>
      <c r="D22" s="39"/>
      <c r="E22" s="90"/>
      <c r="F22" s="41">
        <f>round(F21*10%,0)</f>
        <v>209975</v>
      </c>
    </row>
    <row r="23">
      <c r="A23" s="33" t="s">
        <v>16</v>
      </c>
      <c r="B23" s="31"/>
      <c r="C23" s="32"/>
      <c r="D23" s="39"/>
      <c r="E23" s="90"/>
      <c r="F23" s="41">
        <f>F21+F22</f>
        <v>2309729</v>
      </c>
    </row>
    <row r="29">
      <c r="A29" s="52" t="s">
        <v>127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128</v>
      </c>
      <c r="C32" s="55">
        <v>45992.0</v>
      </c>
      <c r="D32" s="22">
        <v>89.98</v>
      </c>
      <c r="E32" s="56"/>
      <c r="F32" s="28"/>
    </row>
    <row r="33">
      <c r="A33" s="30" t="s">
        <v>113</v>
      </c>
      <c r="B33" s="31"/>
      <c r="C33" s="32"/>
      <c r="D33" s="24">
        <f>round(D32*10%,2)</f>
        <v>9</v>
      </c>
      <c r="E33" s="57"/>
      <c r="F33" s="28"/>
    </row>
    <row r="34">
      <c r="A34" s="30" t="s">
        <v>104</v>
      </c>
      <c r="B34" s="31"/>
      <c r="C34" s="32"/>
      <c r="D34" s="24">
        <f>round(D32*5.26%,2)</f>
        <v>4.73</v>
      </c>
      <c r="E34" s="57"/>
      <c r="F34" s="28"/>
    </row>
    <row r="35">
      <c r="A35" s="33" t="s">
        <v>9</v>
      </c>
      <c r="B35" s="31"/>
      <c r="C35" s="32"/>
      <c r="D35" s="39">
        <f>D32-D33+D34</f>
        <v>85.71</v>
      </c>
      <c r="E35" s="90">
        <v>26377.0</v>
      </c>
      <c r="F35" s="41">
        <f>round(D35*E35,0)</f>
        <v>2260773</v>
      </c>
    </row>
    <row r="36">
      <c r="A36" s="33" t="s">
        <v>26</v>
      </c>
      <c r="B36" s="31"/>
      <c r="C36" s="32"/>
      <c r="D36" s="39"/>
      <c r="E36" s="90"/>
      <c r="F36" s="41">
        <f>round(F35*10%,0)</f>
        <v>226077</v>
      </c>
    </row>
    <row r="37">
      <c r="A37" s="33" t="s">
        <v>16</v>
      </c>
      <c r="B37" s="31"/>
      <c r="C37" s="32"/>
      <c r="D37" s="39"/>
      <c r="E37" s="90"/>
      <c r="F37" s="41">
        <f>F35+F36</f>
        <v>2486850</v>
      </c>
    </row>
    <row r="43">
      <c r="A43" s="52" t="s">
        <v>127</v>
      </c>
    </row>
    <row r="44">
      <c r="A44" s="53"/>
      <c r="B44" s="53"/>
      <c r="C44" s="53"/>
      <c r="D44" s="53"/>
      <c r="E44" s="53"/>
      <c r="F44" s="53"/>
    </row>
    <row r="45">
      <c r="A45" s="9" t="s">
        <v>4</v>
      </c>
      <c r="B45" s="9" t="s">
        <v>5</v>
      </c>
      <c r="C45" s="9" t="s">
        <v>6</v>
      </c>
      <c r="D45" s="9" t="s">
        <v>7</v>
      </c>
      <c r="E45" s="9" t="s">
        <v>8</v>
      </c>
      <c r="F45" s="9" t="s">
        <v>9</v>
      </c>
    </row>
    <row r="46">
      <c r="A46" s="13">
        <v>1.0</v>
      </c>
      <c r="B46" s="54" t="s">
        <v>128</v>
      </c>
      <c r="C46" s="55">
        <v>46023.0</v>
      </c>
      <c r="D46" s="22">
        <v>73.63</v>
      </c>
      <c r="E46" s="56"/>
      <c r="F46" s="28"/>
    </row>
    <row r="47">
      <c r="A47" s="30" t="s">
        <v>113</v>
      </c>
      <c r="B47" s="31"/>
      <c r="C47" s="32"/>
      <c r="D47" s="24">
        <f>round(D46*10%,2)</f>
        <v>7.36</v>
      </c>
      <c r="E47" s="57"/>
      <c r="F47" s="28"/>
    </row>
    <row r="48">
      <c r="A48" s="30" t="s">
        <v>104</v>
      </c>
      <c r="B48" s="31"/>
      <c r="C48" s="32"/>
      <c r="D48" s="24">
        <f>round(D46*5.26%,2)</f>
        <v>3.87</v>
      </c>
      <c r="E48" s="57"/>
      <c r="F48" s="28"/>
    </row>
    <row r="49">
      <c r="A49" s="33" t="s">
        <v>9</v>
      </c>
      <c r="B49" s="31"/>
      <c r="C49" s="32"/>
      <c r="D49" s="39">
        <f>D46-D47+D48</f>
        <v>70.14</v>
      </c>
      <c r="E49" s="90">
        <v>26145.0</v>
      </c>
      <c r="F49" s="41">
        <f>round(D49*E49,0)</f>
        <v>1833810</v>
      </c>
    </row>
    <row r="50">
      <c r="A50" s="33" t="s">
        <v>26</v>
      </c>
      <c r="B50" s="31"/>
      <c r="C50" s="32"/>
      <c r="D50" s="39"/>
      <c r="E50" s="90"/>
      <c r="F50" s="41">
        <f>round(F49*10%,0)</f>
        <v>183381</v>
      </c>
    </row>
    <row r="51">
      <c r="A51" s="33" t="s">
        <v>16</v>
      </c>
      <c r="B51" s="31"/>
      <c r="C51" s="32"/>
      <c r="D51" s="39"/>
      <c r="E51" s="90"/>
      <c r="F51" s="41">
        <f>F49+F50</f>
        <v>2017191</v>
      </c>
    </row>
    <row r="56">
      <c r="A56" s="52" t="s">
        <v>131</v>
      </c>
    </row>
    <row r="57">
      <c r="A57" s="53"/>
      <c r="B57" s="53"/>
      <c r="C57" s="53"/>
      <c r="D57" s="53"/>
      <c r="E57" s="53"/>
      <c r="F57" s="53"/>
    </row>
    <row r="58">
      <c r="A58" s="9" t="s">
        <v>4</v>
      </c>
      <c r="B58" s="9" t="s">
        <v>5</v>
      </c>
      <c r="C58" s="9" t="s">
        <v>6</v>
      </c>
      <c r="D58" s="9" t="s">
        <v>7</v>
      </c>
      <c r="E58" s="9" t="s">
        <v>8</v>
      </c>
      <c r="F58" s="9" t="s">
        <v>9</v>
      </c>
    </row>
    <row r="59">
      <c r="A59" s="13">
        <v>1.0</v>
      </c>
      <c r="B59" s="54" t="s">
        <v>128</v>
      </c>
      <c r="C59" s="55">
        <v>46054.0</v>
      </c>
      <c r="D59" s="22">
        <v>61.47</v>
      </c>
      <c r="E59" s="56"/>
      <c r="F59" s="28"/>
    </row>
    <row r="60">
      <c r="A60" s="30" t="s">
        <v>113</v>
      </c>
      <c r="B60" s="31"/>
      <c r="C60" s="32"/>
      <c r="D60" s="24">
        <f>round(D59*10%,2)</f>
        <v>6.15</v>
      </c>
      <c r="E60" s="57"/>
      <c r="F60" s="28"/>
    </row>
    <row r="61">
      <c r="A61" s="30" t="s">
        <v>104</v>
      </c>
      <c r="B61" s="31"/>
      <c r="C61" s="32"/>
      <c r="D61" s="24">
        <f>round(D59*5.26%,2)</f>
        <v>3.23</v>
      </c>
      <c r="E61" s="57"/>
      <c r="F61" s="28"/>
    </row>
    <row r="62">
      <c r="A62" s="33" t="s">
        <v>9</v>
      </c>
      <c r="B62" s="31"/>
      <c r="C62" s="32"/>
      <c r="D62" s="39">
        <f>D59-D60+D61</f>
        <v>58.55</v>
      </c>
      <c r="E62" s="90">
        <v>26240.0</v>
      </c>
      <c r="F62" s="41">
        <f>round(D62*E62,0)</f>
        <v>1536352</v>
      </c>
    </row>
    <row r="63">
      <c r="A63" s="33" t="s">
        <v>26</v>
      </c>
      <c r="B63" s="31"/>
      <c r="C63" s="32"/>
      <c r="D63" s="39"/>
      <c r="E63" s="90"/>
      <c r="F63" s="41">
        <f>round(F62*10%,0)</f>
        <v>153635</v>
      </c>
    </row>
    <row r="64">
      <c r="A64" s="33" t="s">
        <v>16</v>
      </c>
      <c r="B64" s="31"/>
      <c r="C64" s="32"/>
      <c r="D64" s="39"/>
      <c r="E64" s="90"/>
      <c r="F64" s="41">
        <f>F62+F63</f>
        <v>1689987</v>
      </c>
    </row>
    <row r="69">
      <c r="A69" s="52" t="s">
        <v>131</v>
      </c>
    </row>
    <row r="70">
      <c r="A70" s="53"/>
      <c r="B70" s="53"/>
      <c r="C70" s="53"/>
      <c r="D70" s="53"/>
      <c r="E70" s="53"/>
      <c r="F70" s="53"/>
    </row>
    <row r="71">
      <c r="A71" s="9" t="s">
        <v>4</v>
      </c>
      <c r="B71" s="9" t="s">
        <v>5</v>
      </c>
      <c r="C71" s="9" t="s">
        <v>6</v>
      </c>
      <c r="D71" s="9" t="s">
        <v>7</v>
      </c>
      <c r="E71" s="9" t="s">
        <v>8</v>
      </c>
      <c r="F71" s="9" t="s">
        <v>9</v>
      </c>
    </row>
    <row r="72">
      <c r="A72" s="13">
        <v>1.0</v>
      </c>
      <c r="B72" s="54" t="s">
        <v>128</v>
      </c>
      <c r="C72" s="55">
        <v>46082.0</v>
      </c>
      <c r="D72" s="22">
        <v>74.55</v>
      </c>
      <c r="E72" s="56"/>
      <c r="F72" s="28"/>
    </row>
    <row r="73">
      <c r="A73" s="30" t="s">
        <v>113</v>
      </c>
      <c r="B73" s="31"/>
      <c r="C73" s="32"/>
      <c r="D73" s="24">
        <f>round(D72*10%,2)</f>
        <v>7.46</v>
      </c>
      <c r="E73" s="57"/>
      <c r="F73" s="28"/>
    </row>
    <row r="74">
      <c r="A74" s="30" t="s">
        <v>104</v>
      </c>
      <c r="B74" s="31"/>
      <c r="C74" s="32"/>
      <c r="D74" s="24">
        <f>round(D72*5.26%,2)</f>
        <v>3.92</v>
      </c>
      <c r="E74" s="57"/>
      <c r="F74" s="28"/>
    </row>
    <row r="75">
      <c r="A75" s="33" t="s">
        <v>9</v>
      </c>
      <c r="B75" s="31"/>
      <c r="C75" s="32"/>
      <c r="D75" s="39">
        <f>D72-D73+D74</f>
        <v>71.01</v>
      </c>
      <c r="E75" s="90">
        <v>26357.0</v>
      </c>
      <c r="F75" s="41">
        <f>round(D75*E75,0)</f>
        <v>1871611</v>
      </c>
    </row>
    <row r="76">
      <c r="A76" s="33" t="s">
        <v>26</v>
      </c>
      <c r="B76" s="31"/>
      <c r="C76" s="32"/>
      <c r="D76" s="39"/>
      <c r="E76" s="90"/>
      <c r="F76" s="41">
        <f>round(F75*10%,0)</f>
        <v>187161</v>
      </c>
    </row>
    <row r="77">
      <c r="A77" s="33" t="s">
        <v>16</v>
      </c>
      <c r="B77" s="31"/>
      <c r="C77" s="32"/>
      <c r="D77" s="39"/>
      <c r="E77" s="90"/>
      <c r="F77" s="41">
        <f>F75+F76</f>
        <v>2058772</v>
      </c>
    </row>
    <row r="83">
      <c r="A83" s="52" t="s">
        <v>131</v>
      </c>
    </row>
    <row r="84">
      <c r="A84" s="53"/>
      <c r="B84" s="53"/>
      <c r="C84" s="53"/>
      <c r="D84" s="53"/>
      <c r="E84" s="53"/>
      <c r="F84" s="53"/>
    </row>
    <row r="85">
      <c r="A85" s="9" t="s">
        <v>4</v>
      </c>
      <c r="B85" s="9" t="s">
        <v>5</v>
      </c>
      <c r="C85" s="9" t="s">
        <v>6</v>
      </c>
      <c r="D85" s="9" t="s">
        <v>7</v>
      </c>
      <c r="E85" s="9" t="s">
        <v>8</v>
      </c>
      <c r="F85" s="9" t="s">
        <v>9</v>
      </c>
    </row>
    <row r="86">
      <c r="A86" s="13">
        <v>1.0</v>
      </c>
      <c r="B86" s="54" t="s">
        <v>128</v>
      </c>
      <c r="C86" s="55">
        <v>46113.0</v>
      </c>
      <c r="D86" s="22">
        <v>94.11</v>
      </c>
      <c r="E86" s="56"/>
      <c r="F86" s="28"/>
    </row>
    <row r="87">
      <c r="A87" s="30" t="s">
        <v>113</v>
      </c>
      <c r="B87" s="31"/>
      <c r="C87" s="32"/>
      <c r="D87" s="24">
        <f>round(D86*10%,2)</f>
        <v>9.41</v>
      </c>
      <c r="E87" s="57"/>
      <c r="F87" s="28"/>
    </row>
    <row r="88">
      <c r="A88" s="30" t="s">
        <v>104</v>
      </c>
      <c r="B88" s="31"/>
      <c r="C88" s="32"/>
      <c r="D88" s="24">
        <f>round(D86*5.26%,2)</f>
        <v>4.95</v>
      </c>
      <c r="E88" s="57"/>
      <c r="F88" s="28"/>
    </row>
    <row r="89">
      <c r="A89" s="33" t="s">
        <v>9</v>
      </c>
      <c r="B89" s="31"/>
      <c r="C89" s="32"/>
      <c r="D89" s="39">
        <f>D86-D87+D88</f>
        <v>89.65</v>
      </c>
      <c r="E89" s="90">
        <v>26368.0</v>
      </c>
      <c r="F89" s="41">
        <f>round(D89*E89,0)</f>
        <v>2363891</v>
      </c>
    </row>
    <row r="90">
      <c r="A90" s="33" t="s">
        <v>26</v>
      </c>
      <c r="B90" s="31"/>
      <c r="C90" s="32"/>
      <c r="D90" s="39"/>
      <c r="E90" s="90"/>
      <c r="F90" s="41">
        <f>round(F89*10%,0)</f>
        <v>236389</v>
      </c>
    </row>
    <row r="91">
      <c r="A91" s="33" t="s">
        <v>16</v>
      </c>
      <c r="B91" s="31"/>
      <c r="C91" s="32"/>
      <c r="D91" s="39"/>
      <c r="E91" s="90"/>
      <c r="F91" s="41">
        <f>F89+F90</f>
        <v>2600280</v>
      </c>
    </row>
    <row r="97">
      <c r="A97" s="52" t="s">
        <v>131</v>
      </c>
    </row>
    <row r="98">
      <c r="A98" s="53"/>
      <c r="B98" s="53"/>
      <c r="C98" s="53"/>
      <c r="D98" s="53"/>
      <c r="E98" s="53"/>
      <c r="F98" s="53"/>
    </row>
    <row r="99">
      <c r="A99" s="9" t="s">
        <v>4</v>
      </c>
      <c r="B99" s="9" t="s">
        <v>5</v>
      </c>
      <c r="C99" s="9" t="s">
        <v>6</v>
      </c>
      <c r="D99" s="9" t="s">
        <v>7</v>
      </c>
      <c r="E99" s="9" t="s">
        <v>8</v>
      </c>
      <c r="F99" s="9" t="s">
        <v>9</v>
      </c>
    </row>
    <row r="100">
      <c r="A100" s="13">
        <v>1.0</v>
      </c>
      <c r="B100" s="54" t="s">
        <v>128</v>
      </c>
      <c r="C100" s="55">
        <v>46143.0</v>
      </c>
      <c r="D100" s="22">
        <v>99.6</v>
      </c>
      <c r="E100" s="56"/>
      <c r="F100" s="28"/>
    </row>
    <row r="101">
      <c r="A101" s="30" t="s">
        <v>113</v>
      </c>
      <c r="B101" s="31"/>
      <c r="C101" s="32"/>
      <c r="D101" s="24">
        <f>round(D100*10%,2)</f>
        <v>9.96</v>
      </c>
      <c r="E101" s="57"/>
      <c r="F101" s="28"/>
    </row>
    <row r="102">
      <c r="A102" s="30" t="s">
        <v>104</v>
      </c>
      <c r="B102" s="31"/>
      <c r="C102" s="32"/>
      <c r="D102" s="24">
        <f>round(D100*5.26%,2)</f>
        <v>5.24</v>
      </c>
      <c r="E102" s="57"/>
      <c r="F102" s="28"/>
    </row>
    <row r="103">
      <c r="A103" s="33" t="s">
        <v>9</v>
      </c>
      <c r="B103" s="31"/>
      <c r="C103" s="32"/>
      <c r="D103" s="39">
        <f>D100-D101+D102</f>
        <v>94.88</v>
      </c>
      <c r="E103" s="90">
        <v>26395.0</v>
      </c>
      <c r="F103" s="41">
        <f>round(D103*E103,0)</f>
        <v>2504358</v>
      </c>
    </row>
    <row r="104">
      <c r="A104" s="33" t="s">
        <v>26</v>
      </c>
      <c r="B104" s="31"/>
      <c r="C104" s="32"/>
      <c r="D104" s="39"/>
      <c r="E104" s="90"/>
      <c r="F104" s="41">
        <f>round(F103*10%,0)</f>
        <v>250436</v>
      </c>
    </row>
    <row r="105">
      <c r="A105" s="33" t="s">
        <v>16</v>
      </c>
      <c r="B105" s="31"/>
      <c r="C105" s="32"/>
      <c r="D105" s="39"/>
      <c r="E105" s="90"/>
      <c r="F105" s="41">
        <f>F103+F104</f>
        <v>2754794</v>
      </c>
    </row>
    <row r="110">
      <c r="A110" s="52" t="s">
        <v>131</v>
      </c>
    </row>
    <row r="111">
      <c r="A111" s="53"/>
      <c r="B111" s="53"/>
      <c r="C111" s="53"/>
      <c r="D111" s="53"/>
      <c r="E111" s="53"/>
      <c r="F111" s="53"/>
    </row>
    <row r="112">
      <c r="A112" s="9" t="s">
        <v>4</v>
      </c>
      <c r="B112" s="9" t="s">
        <v>5</v>
      </c>
      <c r="C112" s="9" t="s">
        <v>6</v>
      </c>
      <c r="D112" s="9" t="s">
        <v>7</v>
      </c>
      <c r="E112" s="9" t="s">
        <v>8</v>
      </c>
      <c r="F112" s="9" t="s">
        <v>9</v>
      </c>
    </row>
    <row r="113">
      <c r="A113" s="13">
        <v>1.0</v>
      </c>
      <c r="B113" s="54" t="s">
        <v>128</v>
      </c>
      <c r="C113" s="55">
        <v>46174.0</v>
      </c>
      <c r="D113" s="22">
        <v>102.93</v>
      </c>
      <c r="E113" s="56"/>
      <c r="F113" s="28"/>
    </row>
    <row r="114">
      <c r="A114" s="30" t="s">
        <v>113</v>
      </c>
      <c r="B114" s="31"/>
      <c r="C114" s="32"/>
      <c r="D114" s="24">
        <f>round(D113*10%,2)</f>
        <v>10.29</v>
      </c>
      <c r="E114" s="57"/>
      <c r="F114" s="28"/>
    </row>
    <row r="115">
      <c r="A115" s="30" t="s">
        <v>104</v>
      </c>
      <c r="B115" s="31"/>
      <c r="C115" s="32"/>
      <c r="D115" s="24">
        <f>round(D113*5.26%,2)</f>
        <v>5.41</v>
      </c>
      <c r="E115" s="57"/>
      <c r="F115" s="28"/>
    </row>
    <row r="116">
      <c r="A116" s="33" t="s">
        <v>9</v>
      </c>
      <c r="B116" s="31"/>
      <c r="C116" s="32"/>
      <c r="D116" s="39">
        <f>D113-D114+D115</f>
        <v>98.05</v>
      </c>
      <c r="E116" s="90">
        <v>26466.0</v>
      </c>
      <c r="F116" s="41">
        <f>round(D116*E116,0)</f>
        <v>2594991</v>
      </c>
    </row>
    <row r="117">
      <c r="A117" s="33" t="s">
        <v>26</v>
      </c>
      <c r="B117" s="31"/>
      <c r="C117" s="32"/>
      <c r="D117" s="39"/>
      <c r="E117" s="90"/>
      <c r="F117" s="41">
        <f>round(F116*10%,0)</f>
        <v>259499</v>
      </c>
    </row>
    <row r="118">
      <c r="A118" s="33" t="s">
        <v>16</v>
      </c>
      <c r="B118" s="31"/>
      <c r="C118" s="32"/>
      <c r="D118" s="39"/>
      <c r="E118" s="90"/>
      <c r="F118" s="41">
        <f>F116+F117</f>
        <v>2854490</v>
      </c>
    </row>
    <row r="124">
      <c r="A124" s="52" t="s">
        <v>131</v>
      </c>
    </row>
    <row r="125">
      <c r="A125" s="53"/>
      <c r="B125" s="53"/>
      <c r="C125" s="53"/>
      <c r="D125" s="53"/>
      <c r="E125" s="53"/>
      <c r="F125" s="53"/>
    </row>
    <row r="126">
      <c r="A126" s="9" t="s">
        <v>4</v>
      </c>
      <c r="B126" s="9" t="s">
        <v>5</v>
      </c>
      <c r="C126" s="9" t="s">
        <v>6</v>
      </c>
      <c r="D126" s="9" t="s">
        <v>7</v>
      </c>
      <c r="E126" s="9" t="s">
        <v>8</v>
      </c>
      <c r="F126" s="9" t="s">
        <v>9</v>
      </c>
    </row>
    <row r="127">
      <c r="A127" s="13">
        <v>1.0</v>
      </c>
      <c r="B127" s="54" t="s">
        <v>128</v>
      </c>
      <c r="C127" s="55">
        <v>46204.0</v>
      </c>
      <c r="D127" s="22">
        <v>99.42</v>
      </c>
      <c r="E127" s="56"/>
      <c r="F127" s="28"/>
    </row>
    <row r="128">
      <c r="A128" s="30" t="s">
        <v>113</v>
      </c>
      <c r="B128" s="31"/>
      <c r="C128" s="32"/>
      <c r="D128" s="24">
        <f>round(D127*10%,2)</f>
        <v>9.94</v>
      </c>
      <c r="E128" s="57"/>
      <c r="F128" s="28"/>
    </row>
    <row r="129">
      <c r="A129" s="30" t="s">
        <v>134</v>
      </c>
      <c r="B129" s="31"/>
      <c r="C129" s="32"/>
      <c r="D129" s="24">
        <f>round(D127*5.88%,2)</f>
        <v>5.85</v>
      </c>
      <c r="E129" s="57"/>
      <c r="F129" s="28"/>
    </row>
    <row r="130">
      <c r="A130" s="33" t="s">
        <v>9</v>
      </c>
      <c r="B130" s="31"/>
      <c r="C130" s="32"/>
      <c r="D130" s="39">
        <f>D127-D128+D129</f>
        <v>95.33</v>
      </c>
      <c r="E130" s="90">
        <v>26475.0</v>
      </c>
      <c r="F130" s="41">
        <f>round(D130*E130,0)</f>
        <v>2523862</v>
      </c>
    </row>
    <row r="131">
      <c r="A131" s="33" t="s">
        <v>26</v>
      </c>
      <c r="B131" s="31"/>
      <c r="C131" s="32"/>
      <c r="D131" s="39"/>
      <c r="E131" s="90"/>
      <c r="F131" s="41">
        <f>round(F130*10%,0)</f>
        <v>252386</v>
      </c>
    </row>
    <row r="132">
      <c r="A132" s="33" t="s">
        <v>16</v>
      </c>
      <c r="B132" s="31"/>
      <c r="C132" s="32"/>
      <c r="D132" s="39"/>
      <c r="E132" s="90"/>
      <c r="F132" s="41">
        <f>F130+F131</f>
        <v>2776248</v>
      </c>
    </row>
  </sheetData>
  <mergeCells count="60">
    <mergeCell ref="A129:C129"/>
    <mergeCell ref="A130:C130"/>
    <mergeCell ref="A131:C131"/>
    <mergeCell ref="A132:C132"/>
    <mergeCell ref="A114:C114"/>
    <mergeCell ref="A115:C115"/>
    <mergeCell ref="A116:C116"/>
    <mergeCell ref="A117:C117"/>
    <mergeCell ref="A118:C118"/>
    <mergeCell ref="A124:F124"/>
    <mergeCell ref="A128:C128"/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29:F29"/>
    <mergeCell ref="A33:C33"/>
    <mergeCell ref="A34:C34"/>
    <mergeCell ref="A35:C35"/>
    <mergeCell ref="A36:C36"/>
    <mergeCell ref="A37:C37"/>
    <mergeCell ref="A43:F43"/>
    <mergeCell ref="A47:C47"/>
    <mergeCell ref="A48:C48"/>
    <mergeCell ref="A49:C49"/>
    <mergeCell ref="A50:C50"/>
    <mergeCell ref="A51:C51"/>
    <mergeCell ref="A56:F56"/>
    <mergeCell ref="A60:C60"/>
    <mergeCell ref="A61:C61"/>
    <mergeCell ref="A62:C62"/>
    <mergeCell ref="A63:C63"/>
    <mergeCell ref="A64:C64"/>
    <mergeCell ref="A69:F69"/>
    <mergeCell ref="A73:C73"/>
    <mergeCell ref="A74:C74"/>
    <mergeCell ref="A75:C75"/>
    <mergeCell ref="A76:C76"/>
    <mergeCell ref="A77:C77"/>
    <mergeCell ref="A83:F83"/>
    <mergeCell ref="A87:C87"/>
    <mergeCell ref="A88:C88"/>
    <mergeCell ref="A89:C89"/>
    <mergeCell ref="A90:C90"/>
    <mergeCell ref="A91:C91"/>
    <mergeCell ref="A97:F97"/>
    <mergeCell ref="A101:C101"/>
    <mergeCell ref="A102:C102"/>
    <mergeCell ref="A103:C103"/>
    <mergeCell ref="A104:C104"/>
    <mergeCell ref="A105:C105"/>
    <mergeCell ref="A110:F110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9.63"/>
    <col customWidth="1" min="3" max="3" width="11.63"/>
    <col customWidth="1" min="4" max="4" width="21.0"/>
    <col customWidth="1" min="5" max="5" width="11.75"/>
    <col customWidth="1" min="6" max="6" width="18.63"/>
  </cols>
  <sheetData>
    <row r="1">
      <c r="A1" s="52" t="s">
        <v>129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130</v>
      </c>
      <c r="C4" s="55">
        <v>45931.0</v>
      </c>
      <c r="D4" s="22">
        <v>538.93</v>
      </c>
      <c r="E4" s="56"/>
      <c r="F4" s="28"/>
    </row>
    <row r="5">
      <c r="A5" s="30" t="s">
        <v>113</v>
      </c>
      <c r="B5" s="31"/>
      <c r="C5" s="32"/>
      <c r="D5" s="24">
        <f>round(D4*10%,2)</f>
        <v>53.89</v>
      </c>
      <c r="E5" s="57"/>
      <c r="F5" s="28"/>
    </row>
    <row r="6">
      <c r="A6" s="30" t="s">
        <v>106</v>
      </c>
      <c r="B6" s="31"/>
      <c r="C6" s="32"/>
      <c r="D6" s="24">
        <f>round(D4*10%,2)</f>
        <v>53.89</v>
      </c>
      <c r="E6" s="57"/>
      <c r="F6" s="28"/>
    </row>
    <row r="7">
      <c r="A7" s="33" t="s">
        <v>9</v>
      </c>
      <c r="B7" s="31"/>
      <c r="C7" s="32"/>
      <c r="D7" s="39">
        <f>D4-D5+D6</f>
        <v>538.93</v>
      </c>
      <c r="E7" s="90">
        <v>26347.0</v>
      </c>
      <c r="F7" s="41">
        <f>round(D7*E7,0)</f>
        <v>14199189</v>
      </c>
    </row>
    <row r="8">
      <c r="A8" s="33" t="s">
        <v>26</v>
      </c>
      <c r="B8" s="31"/>
      <c r="C8" s="32"/>
      <c r="D8" s="39"/>
      <c r="E8" s="90"/>
      <c r="F8" s="41">
        <f>round(F7*10%,0)</f>
        <v>1419919</v>
      </c>
    </row>
    <row r="9">
      <c r="A9" s="33" t="s">
        <v>16</v>
      </c>
      <c r="B9" s="31"/>
      <c r="C9" s="32"/>
      <c r="D9" s="39"/>
      <c r="E9" s="90"/>
      <c r="F9" s="41">
        <f>F7+F8</f>
        <v>15619108</v>
      </c>
    </row>
    <row r="14">
      <c r="A14" s="52" t="s">
        <v>129</v>
      </c>
    </row>
    <row r="15">
      <c r="A15" s="53"/>
      <c r="B15" s="53"/>
      <c r="C15" s="53"/>
      <c r="D15" s="53"/>
      <c r="E15" s="53"/>
      <c r="F15" s="53"/>
    </row>
    <row r="16">
      <c r="A16" s="9" t="s">
        <v>4</v>
      </c>
      <c r="B16" s="9" t="s">
        <v>5</v>
      </c>
      <c r="C16" s="9" t="s">
        <v>6</v>
      </c>
      <c r="D16" s="9" t="s">
        <v>7</v>
      </c>
      <c r="E16" s="9" t="s">
        <v>8</v>
      </c>
      <c r="F16" s="9" t="s">
        <v>9</v>
      </c>
    </row>
    <row r="17">
      <c r="A17" s="13">
        <v>1.0</v>
      </c>
      <c r="B17" s="54" t="s">
        <v>130</v>
      </c>
      <c r="C17" s="55">
        <v>45962.0</v>
      </c>
      <c r="D17" s="22">
        <v>539.95</v>
      </c>
      <c r="E17" s="56"/>
      <c r="F17" s="28"/>
    </row>
    <row r="18">
      <c r="A18" s="30" t="s">
        <v>113</v>
      </c>
      <c r="B18" s="31"/>
      <c r="C18" s="32"/>
      <c r="D18" s="24">
        <f>round(D17*10%,2)</f>
        <v>54</v>
      </c>
      <c r="E18" s="57"/>
      <c r="F18" s="28"/>
    </row>
    <row r="19">
      <c r="A19" s="30" t="s">
        <v>106</v>
      </c>
      <c r="B19" s="31"/>
      <c r="C19" s="32"/>
      <c r="D19" s="24">
        <f>round(D17*10%,2)</f>
        <v>54</v>
      </c>
      <c r="E19" s="57"/>
      <c r="F19" s="28"/>
    </row>
    <row r="20">
      <c r="A20" s="33" t="s">
        <v>9</v>
      </c>
      <c r="B20" s="31"/>
      <c r="C20" s="32"/>
      <c r="D20" s="39">
        <f>D17-D18+D19</f>
        <v>539.95</v>
      </c>
      <c r="E20" s="90">
        <v>26412.0</v>
      </c>
      <c r="F20" s="41">
        <f>round(D20*E20,0)</f>
        <v>14261159</v>
      </c>
    </row>
    <row r="21">
      <c r="A21" s="33" t="s">
        <v>26</v>
      </c>
      <c r="B21" s="31"/>
      <c r="C21" s="32"/>
      <c r="D21" s="39"/>
      <c r="E21" s="90"/>
      <c r="F21" s="41">
        <f>round(F20*10%,0)</f>
        <v>1426116</v>
      </c>
    </row>
    <row r="22">
      <c r="A22" s="33" t="s">
        <v>16</v>
      </c>
      <c r="B22" s="31"/>
      <c r="C22" s="32"/>
      <c r="D22" s="39"/>
      <c r="E22" s="90"/>
      <c r="F22" s="41">
        <f>F20+F21</f>
        <v>15687275</v>
      </c>
    </row>
    <row r="28">
      <c r="A28" s="52" t="s">
        <v>129</v>
      </c>
    </row>
    <row r="29">
      <c r="A29" s="53"/>
      <c r="B29" s="53"/>
      <c r="C29" s="53"/>
      <c r="D29" s="53"/>
      <c r="E29" s="53"/>
      <c r="F29" s="53"/>
    </row>
    <row r="30">
      <c r="A30" s="9" t="s">
        <v>4</v>
      </c>
      <c r="B30" s="9" t="s">
        <v>5</v>
      </c>
      <c r="C30" s="9" t="s">
        <v>6</v>
      </c>
      <c r="D30" s="9" t="s">
        <v>7</v>
      </c>
      <c r="E30" s="9" t="s">
        <v>8</v>
      </c>
      <c r="F30" s="9" t="s">
        <v>9</v>
      </c>
    </row>
    <row r="31">
      <c r="A31" s="13">
        <v>1.0</v>
      </c>
      <c r="B31" s="54" t="s">
        <v>130</v>
      </c>
      <c r="C31" s="55">
        <v>45992.0</v>
      </c>
      <c r="D31" s="22">
        <v>551.02</v>
      </c>
      <c r="E31" s="56"/>
      <c r="F31" s="28"/>
    </row>
    <row r="32">
      <c r="A32" s="30" t="s">
        <v>113</v>
      </c>
      <c r="B32" s="31"/>
      <c r="C32" s="32"/>
      <c r="D32" s="24">
        <f>round(D31*10%,2)</f>
        <v>55.1</v>
      </c>
      <c r="E32" s="57"/>
      <c r="F32" s="28"/>
    </row>
    <row r="33">
      <c r="A33" s="30" t="s">
        <v>106</v>
      </c>
      <c r="B33" s="31"/>
      <c r="C33" s="32"/>
      <c r="D33" s="24">
        <f>round(D31*10%,2)</f>
        <v>55.1</v>
      </c>
      <c r="E33" s="57"/>
      <c r="F33" s="28"/>
    </row>
    <row r="34">
      <c r="A34" s="33" t="s">
        <v>9</v>
      </c>
      <c r="B34" s="31"/>
      <c r="C34" s="32"/>
      <c r="D34" s="39">
        <f>D31-D32+D33</f>
        <v>551.02</v>
      </c>
      <c r="E34" s="90">
        <v>26377.0</v>
      </c>
      <c r="F34" s="41">
        <f>round(D34*E34,0)</f>
        <v>14534255</v>
      </c>
    </row>
    <row r="35">
      <c r="A35" s="33" t="s">
        <v>26</v>
      </c>
      <c r="B35" s="31"/>
      <c r="C35" s="32"/>
      <c r="D35" s="39"/>
      <c r="E35" s="90"/>
      <c r="F35" s="41">
        <f>round(F34*10%,0)</f>
        <v>1453426</v>
      </c>
    </row>
    <row r="36">
      <c r="A36" s="33" t="s">
        <v>16</v>
      </c>
      <c r="B36" s="31"/>
      <c r="C36" s="32"/>
      <c r="D36" s="39"/>
      <c r="E36" s="90"/>
      <c r="F36" s="41">
        <f>F34+F35</f>
        <v>15987681</v>
      </c>
    </row>
    <row r="42">
      <c r="A42" s="52" t="s">
        <v>129</v>
      </c>
    </row>
    <row r="43">
      <c r="A43" s="53"/>
      <c r="B43" s="53"/>
      <c r="C43" s="53"/>
      <c r="D43" s="53"/>
      <c r="E43" s="53"/>
      <c r="F43" s="53"/>
    </row>
    <row r="44">
      <c r="A44" s="9" t="s">
        <v>4</v>
      </c>
      <c r="B44" s="9" t="s">
        <v>5</v>
      </c>
      <c r="C44" s="9" t="s">
        <v>6</v>
      </c>
      <c r="D44" s="9" t="s">
        <v>7</v>
      </c>
      <c r="E44" s="9" t="s">
        <v>8</v>
      </c>
      <c r="F44" s="9" t="s">
        <v>9</v>
      </c>
    </row>
    <row r="45">
      <c r="A45" s="13">
        <v>1.0</v>
      </c>
      <c r="B45" s="54" t="s">
        <v>130</v>
      </c>
      <c r="C45" s="55">
        <v>46023.0</v>
      </c>
      <c r="D45" s="22">
        <v>555.05</v>
      </c>
      <c r="E45" s="56"/>
      <c r="F45" s="28"/>
    </row>
    <row r="46">
      <c r="A46" s="30" t="s">
        <v>113</v>
      </c>
      <c r="B46" s="31"/>
      <c r="C46" s="32"/>
      <c r="D46" s="24">
        <f>round(D45*10%,2)</f>
        <v>55.51</v>
      </c>
      <c r="E46" s="57"/>
      <c r="F46" s="28"/>
    </row>
    <row r="47">
      <c r="A47" s="30" t="s">
        <v>106</v>
      </c>
      <c r="B47" s="31"/>
      <c r="C47" s="32"/>
      <c r="D47" s="24">
        <f>round(D45*10%,2)</f>
        <v>55.51</v>
      </c>
      <c r="E47" s="57"/>
      <c r="F47" s="28"/>
    </row>
    <row r="48">
      <c r="A48" s="33" t="s">
        <v>9</v>
      </c>
      <c r="B48" s="31"/>
      <c r="C48" s="32"/>
      <c r="D48" s="39">
        <f>D45-D46+D47</f>
        <v>555.05</v>
      </c>
      <c r="E48" s="90">
        <v>26145.0</v>
      </c>
      <c r="F48" s="41">
        <f>round(D48*E48,0)</f>
        <v>14511782</v>
      </c>
    </row>
    <row r="49">
      <c r="A49" s="33" t="s">
        <v>26</v>
      </c>
      <c r="B49" s="31"/>
      <c r="C49" s="32"/>
      <c r="D49" s="39"/>
      <c r="E49" s="90"/>
      <c r="F49" s="41">
        <f>round(F48*10%,0)</f>
        <v>1451178</v>
      </c>
    </row>
    <row r="50">
      <c r="A50" s="33" t="s">
        <v>16</v>
      </c>
      <c r="B50" s="31"/>
      <c r="C50" s="32"/>
      <c r="D50" s="39"/>
      <c r="E50" s="90"/>
      <c r="F50" s="41">
        <f>F48+F49</f>
        <v>15962960</v>
      </c>
    </row>
    <row r="55">
      <c r="A55" s="52" t="s">
        <v>129</v>
      </c>
    </row>
    <row r="56">
      <c r="A56" s="53"/>
      <c r="B56" s="53"/>
      <c r="C56" s="53"/>
      <c r="D56" s="53"/>
      <c r="E56" s="53"/>
      <c r="F56" s="53"/>
    </row>
    <row r="57">
      <c r="A57" s="9" t="s">
        <v>4</v>
      </c>
      <c r="B57" s="9" t="s">
        <v>5</v>
      </c>
      <c r="C57" s="9" t="s">
        <v>6</v>
      </c>
      <c r="D57" s="9" t="s">
        <v>7</v>
      </c>
      <c r="E57" s="9" t="s">
        <v>8</v>
      </c>
      <c r="F57" s="9" t="s">
        <v>9</v>
      </c>
    </row>
    <row r="58">
      <c r="A58" s="13">
        <v>1.0</v>
      </c>
      <c r="B58" s="54" t="s">
        <v>130</v>
      </c>
      <c r="C58" s="55">
        <v>46054.0</v>
      </c>
      <c r="D58" s="22">
        <v>532.92</v>
      </c>
      <c r="E58" s="56"/>
      <c r="F58" s="28"/>
    </row>
    <row r="59">
      <c r="A59" s="30" t="s">
        <v>113</v>
      </c>
      <c r="B59" s="31"/>
      <c r="C59" s="32"/>
      <c r="D59" s="24">
        <f>round(D58*10%,2)</f>
        <v>53.29</v>
      </c>
      <c r="E59" s="57"/>
      <c r="F59" s="28"/>
    </row>
    <row r="60">
      <c r="A60" s="30" t="s">
        <v>106</v>
      </c>
      <c r="B60" s="31"/>
      <c r="C60" s="32"/>
      <c r="D60" s="24">
        <f>round(D58*10%,2)</f>
        <v>53.29</v>
      </c>
      <c r="E60" s="57"/>
      <c r="F60" s="28"/>
    </row>
    <row r="61">
      <c r="A61" s="33" t="s">
        <v>9</v>
      </c>
      <c r="B61" s="31"/>
      <c r="C61" s="32"/>
      <c r="D61" s="39">
        <f>D58-D59+D60</f>
        <v>532.92</v>
      </c>
      <c r="E61" s="90">
        <v>26240.0</v>
      </c>
      <c r="F61" s="41">
        <f>round(D61*E61,0)</f>
        <v>13983821</v>
      </c>
    </row>
    <row r="62">
      <c r="A62" s="33" t="s">
        <v>26</v>
      </c>
      <c r="B62" s="31"/>
      <c r="C62" s="32"/>
      <c r="D62" s="39"/>
      <c r="E62" s="90"/>
      <c r="F62" s="41">
        <f>round(F61*10%,0)</f>
        <v>1398382</v>
      </c>
    </row>
    <row r="63">
      <c r="A63" s="33" t="s">
        <v>16</v>
      </c>
      <c r="B63" s="31"/>
      <c r="C63" s="32"/>
      <c r="D63" s="39"/>
      <c r="E63" s="90"/>
      <c r="F63" s="41">
        <f>F61+F62</f>
        <v>15382203</v>
      </c>
    </row>
    <row r="68">
      <c r="A68" s="52" t="s">
        <v>129</v>
      </c>
    </row>
    <row r="69">
      <c r="A69" s="53"/>
      <c r="B69" s="53"/>
      <c r="C69" s="53"/>
      <c r="D69" s="53"/>
      <c r="E69" s="53"/>
      <c r="F69" s="53"/>
    </row>
    <row r="70">
      <c r="A70" s="9" t="s">
        <v>4</v>
      </c>
      <c r="B70" s="9" t="s">
        <v>5</v>
      </c>
      <c r="C70" s="9" t="s">
        <v>6</v>
      </c>
      <c r="D70" s="9" t="s">
        <v>7</v>
      </c>
      <c r="E70" s="9" t="s">
        <v>8</v>
      </c>
      <c r="F70" s="9" t="s">
        <v>9</v>
      </c>
    </row>
    <row r="71">
      <c r="A71" s="13">
        <v>1.0</v>
      </c>
      <c r="B71" s="54" t="s">
        <v>130</v>
      </c>
      <c r="C71" s="55">
        <v>46082.0</v>
      </c>
      <c r="D71" s="22">
        <v>577.99</v>
      </c>
      <c r="E71" s="56"/>
      <c r="F71" s="28"/>
    </row>
    <row r="72">
      <c r="A72" s="30" t="s">
        <v>113</v>
      </c>
      <c r="B72" s="31"/>
      <c r="C72" s="32"/>
      <c r="D72" s="24">
        <f>round(D71*10%,2)</f>
        <v>57.8</v>
      </c>
      <c r="E72" s="57"/>
      <c r="F72" s="28"/>
    </row>
    <row r="73">
      <c r="A73" s="30" t="s">
        <v>106</v>
      </c>
      <c r="B73" s="31"/>
      <c r="C73" s="32"/>
      <c r="D73" s="24">
        <f>round(D71*10%,2)</f>
        <v>57.8</v>
      </c>
      <c r="E73" s="57"/>
      <c r="F73" s="28"/>
    </row>
    <row r="74">
      <c r="A74" s="33" t="s">
        <v>9</v>
      </c>
      <c r="B74" s="31"/>
      <c r="C74" s="32"/>
      <c r="D74" s="39">
        <f>D71-D72+D73</f>
        <v>577.99</v>
      </c>
      <c r="E74" s="90">
        <v>26357.0</v>
      </c>
      <c r="F74" s="41">
        <f>round(D74*E74,0)</f>
        <v>15234082</v>
      </c>
    </row>
    <row r="75">
      <c r="A75" s="33" t="s">
        <v>26</v>
      </c>
      <c r="B75" s="31"/>
      <c r="C75" s="32"/>
      <c r="D75" s="39"/>
      <c r="E75" s="90"/>
      <c r="F75" s="41">
        <f>round(F74*10%,0)</f>
        <v>1523408</v>
      </c>
    </row>
    <row r="76">
      <c r="A76" s="33" t="s">
        <v>16</v>
      </c>
      <c r="B76" s="31"/>
      <c r="C76" s="32"/>
      <c r="D76" s="39"/>
      <c r="E76" s="90"/>
      <c r="F76" s="41">
        <f>F74+F75</f>
        <v>16757490</v>
      </c>
    </row>
    <row r="81">
      <c r="A81" s="52" t="s">
        <v>129</v>
      </c>
    </row>
    <row r="82">
      <c r="A82" s="53"/>
      <c r="B82" s="53"/>
      <c r="C82" s="53"/>
      <c r="D82" s="53"/>
      <c r="E82" s="53"/>
      <c r="F82" s="53"/>
    </row>
    <row r="83">
      <c r="A83" s="9" t="s">
        <v>4</v>
      </c>
      <c r="B83" s="9" t="s">
        <v>5</v>
      </c>
      <c r="C83" s="9" t="s">
        <v>6</v>
      </c>
      <c r="D83" s="9" t="s">
        <v>7</v>
      </c>
      <c r="E83" s="9" t="s">
        <v>8</v>
      </c>
      <c r="F83" s="9" t="s">
        <v>9</v>
      </c>
    </row>
    <row r="84">
      <c r="A84" s="13">
        <v>1.0</v>
      </c>
      <c r="B84" s="54" t="s">
        <v>130</v>
      </c>
      <c r="C84" s="55">
        <v>46113.0</v>
      </c>
      <c r="D84" s="22">
        <v>675.44</v>
      </c>
      <c r="E84" s="56"/>
      <c r="F84" s="28"/>
    </row>
    <row r="85">
      <c r="A85" s="30" t="s">
        <v>113</v>
      </c>
      <c r="B85" s="31"/>
      <c r="C85" s="32"/>
      <c r="D85" s="24">
        <f>round(D84*10%,2)</f>
        <v>67.54</v>
      </c>
      <c r="E85" s="57"/>
      <c r="F85" s="28"/>
    </row>
    <row r="86">
      <c r="A86" s="30" t="s">
        <v>106</v>
      </c>
      <c r="B86" s="31"/>
      <c r="C86" s="32"/>
      <c r="D86" s="24">
        <f>round(D84*10%,2)</f>
        <v>67.54</v>
      </c>
      <c r="E86" s="57"/>
      <c r="F86" s="28"/>
    </row>
    <row r="87">
      <c r="A87" s="33" t="s">
        <v>9</v>
      </c>
      <c r="B87" s="31"/>
      <c r="C87" s="32"/>
      <c r="D87" s="39">
        <f>D84-D85+D86</f>
        <v>675.44</v>
      </c>
      <c r="E87" s="90">
        <v>26368.0</v>
      </c>
      <c r="F87" s="41">
        <f>round(D87*E87,0)</f>
        <v>17810002</v>
      </c>
    </row>
    <row r="88">
      <c r="A88" s="33" t="s">
        <v>26</v>
      </c>
      <c r="B88" s="31"/>
      <c r="C88" s="32"/>
      <c r="D88" s="39"/>
      <c r="E88" s="90"/>
      <c r="F88" s="41">
        <f>round(F87*10%,0)</f>
        <v>1781000</v>
      </c>
    </row>
    <row r="89">
      <c r="A89" s="33" t="s">
        <v>16</v>
      </c>
      <c r="B89" s="31"/>
      <c r="C89" s="32"/>
      <c r="D89" s="39"/>
      <c r="E89" s="90"/>
      <c r="F89" s="41">
        <f>F87+F88</f>
        <v>19591002</v>
      </c>
    </row>
    <row r="95">
      <c r="A95" s="52" t="s">
        <v>129</v>
      </c>
    </row>
    <row r="96">
      <c r="A96" s="53"/>
      <c r="B96" s="53"/>
      <c r="C96" s="53"/>
      <c r="D96" s="53"/>
      <c r="E96" s="53"/>
      <c r="F96" s="53"/>
    </row>
    <row r="97">
      <c r="A97" s="9" t="s">
        <v>4</v>
      </c>
      <c r="B97" s="9" t="s">
        <v>5</v>
      </c>
      <c r="C97" s="9" t="s">
        <v>6</v>
      </c>
      <c r="D97" s="9" t="s">
        <v>7</v>
      </c>
      <c r="E97" s="9" t="s">
        <v>8</v>
      </c>
      <c r="F97" s="9" t="s">
        <v>9</v>
      </c>
    </row>
    <row r="98">
      <c r="A98" s="13">
        <v>1.0</v>
      </c>
      <c r="B98" s="54" t="s">
        <v>130</v>
      </c>
      <c r="C98" s="55">
        <v>46143.0</v>
      </c>
      <c r="D98" s="22">
        <v>710.13</v>
      </c>
      <c r="E98" s="56"/>
      <c r="F98" s="28"/>
    </row>
    <row r="99">
      <c r="A99" s="30" t="s">
        <v>113</v>
      </c>
      <c r="B99" s="31"/>
      <c r="C99" s="32"/>
      <c r="D99" s="24">
        <f>round(D98*10%,2)</f>
        <v>71.01</v>
      </c>
      <c r="E99" s="57"/>
      <c r="F99" s="28"/>
    </row>
    <row r="100">
      <c r="A100" s="30" t="s">
        <v>106</v>
      </c>
      <c r="B100" s="31"/>
      <c r="C100" s="32"/>
      <c r="D100" s="24">
        <f>round(D98*10%,2)</f>
        <v>71.01</v>
      </c>
      <c r="E100" s="57"/>
      <c r="F100" s="28"/>
    </row>
    <row r="101">
      <c r="A101" s="33" t="s">
        <v>9</v>
      </c>
      <c r="B101" s="31"/>
      <c r="C101" s="32"/>
      <c r="D101" s="39">
        <f>D98-D99+D100</f>
        <v>710.13</v>
      </c>
      <c r="E101" s="90">
        <v>26395.0</v>
      </c>
      <c r="F101" s="41">
        <f>round(D101*E101,0)</f>
        <v>18743881</v>
      </c>
    </row>
    <row r="102">
      <c r="A102" s="33" t="s">
        <v>26</v>
      </c>
      <c r="B102" s="31"/>
      <c r="C102" s="32"/>
      <c r="D102" s="39"/>
      <c r="E102" s="90"/>
      <c r="F102" s="41">
        <f>round(F101*10%,0)</f>
        <v>1874388</v>
      </c>
    </row>
    <row r="103">
      <c r="A103" s="33" t="s">
        <v>16</v>
      </c>
      <c r="B103" s="31"/>
      <c r="C103" s="32"/>
      <c r="D103" s="39"/>
      <c r="E103" s="90"/>
      <c r="F103" s="41">
        <f>F101+F102</f>
        <v>20618269</v>
      </c>
    </row>
    <row r="109">
      <c r="A109" s="52" t="s">
        <v>129</v>
      </c>
    </row>
    <row r="110">
      <c r="A110" s="53"/>
      <c r="B110" s="53"/>
      <c r="C110" s="53"/>
      <c r="D110" s="53"/>
      <c r="E110" s="53"/>
      <c r="F110" s="53"/>
    </row>
    <row r="111">
      <c r="A111" s="9" t="s">
        <v>4</v>
      </c>
      <c r="B111" s="9" t="s">
        <v>5</v>
      </c>
      <c r="C111" s="9" t="s">
        <v>6</v>
      </c>
      <c r="D111" s="9" t="s">
        <v>7</v>
      </c>
      <c r="E111" s="9" t="s">
        <v>8</v>
      </c>
      <c r="F111" s="9" t="s">
        <v>9</v>
      </c>
    </row>
    <row r="112">
      <c r="A112" s="13">
        <v>1.0</v>
      </c>
      <c r="B112" s="54" t="s">
        <v>130</v>
      </c>
      <c r="C112" s="55">
        <v>46174.0</v>
      </c>
      <c r="D112" s="22">
        <v>749.06</v>
      </c>
      <c r="E112" s="56"/>
      <c r="F112" s="28"/>
    </row>
    <row r="113">
      <c r="A113" s="30" t="s">
        <v>113</v>
      </c>
      <c r="B113" s="31"/>
      <c r="C113" s="32"/>
      <c r="D113" s="24">
        <f>round(D112*10%,2)</f>
        <v>74.91</v>
      </c>
      <c r="E113" s="57"/>
      <c r="F113" s="28"/>
    </row>
    <row r="114">
      <c r="A114" s="30" t="s">
        <v>106</v>
      </c>
      <c r="B114" s="31"/>
      <c r="C114" s="32"/>
      <c r="D114" s="24">
        <f>round(D112*10%,2)</f>
        <v>74.91</v>
      </c>
      <c r="E114" s="57"/>
      <c r="F114" s="28"/>
    </row>
    <row r="115">
      <c r="A115" s="33" t="s">
        <v>9</v>
      </c>
      <c r="B115" s="31"/>
      <c r="C115" s="32"/>
      <c r="D115" s="39">
        <f>D112-D113+D114</f>
        <v>749.06</v>
      </c>
      <c r="E115" s="90">
        <v>26466.0</v>
      </c>
      <c r="F115" s="41">
        <f>round(D115*E115,0)</f>
        <v>19824622</v>
      </c>
    </row>
    <row r="116">
      <c r="A116" s="33" t="s">
        <v>26</v>
      </c>
      <c r="B116" s="31"/>
      <c r="C116" s="32"/>
      <c r="D116" s="39"/>
      <c r="E116" s="90"/>
      <c r="F116" s="41">
        <f>round(F115*10%,0)</f>
        <v>1982462</v>
      </c>
    </row>
    <row r="117">
      <c r="A117" s="33" t="s">
        <v>16</v>
      </c>
      <c r="B117" s="31"/>
      <c r="C117" s="32"/>
      <c r="D117" s="39"/>
      <c r="E117" s="90"/>
      <c r="F117" s="41">
        <f>F115+F116</f>
        <v>21807084</v>
      </c>
    </row>
    <row r="123">
      <c r="A123" s="52" t="s">
        <v>129</v>
      </c>
    </row>
    <row r="124">
      <c r="A124" s="53"/>
      <c r="B124" s="53"/>
      <c r="C124" s="53"/>
      <c r="D124" s="53"/>
      <c r="E124" s="53"/>
      <c r="F124" s="53"/>
    </row>
    <row r="125">
      <c r="A125" s="9" t="s">
        <v>4</v>
      </c>
      <c r="B125" s="9" t="s">
        <v>5</v>
      </c>
      <c r="C125" s="9" t="s">
        <v>6</v>
      </c>
      <c r="D125" s="9" t="s">
        <v>7</v>
      </c>
      <c r="E125" s="9" t="s">
        <v>8</v>
      </c>
      <c r="F125" s="9" t="s">
        <v>9</v>
      </c>
    </row>
    <row r="126">
      <c r="A126" s="13">
        <v>1.0</v>
      </c>
      <c r="B126" s="54" t="s">
        <v>130</v>
      </c>
      <c r="C126" s="55">
        <v>46204.0</v>
      </c>
      <c r="D126" s="22">
        <v>729.42</v>
      </c>
      <c r="E126" s="56"/>
      <c r="F126" s="28"/>
    </row>
    <row r="127">
      <c r="A127" s="30" t="s">
        <v>113</v>
      </c>
      <c r="B127" s="31"/>
      <c r="C127" s="32"/>
      <c r="D127" s="24">
        <f>round(D126*10%,2)</f>
        <v>72.94</v>
      </c>
      <c r="E127" s="57"/>
      <c r="F127" s="28"/>
    </row>
    <row r="128">
      <c r="A128" s="30" t="s">
        <v>106</v>
      </c>
      <c r="B128" s="31"/>
      <c r="C128" s="32"/>
      <c r="D128" s="24">
        <f>round(D126*10%,2)</f>
        <v>72.94</v>
      </c>
      <c r="E128" s="57"/>
      <c r="F128" s="28"/>
    </row>
    <row r="129">
      <c r="A129" s="33" t="s">
        <v>9</v>
      </c>
      <c r="B129" s="31"/>
      <c r="C129" s="32"/>
      <c r="D129" s="39">
        <f>D126-D127+D128</f>
        <v>729.42</v>
      </c>
      <c r="E129" s="90">
        <v>26475.0</v>
      </c>
      <c r="F129" s="41">
        <f>round(D129*E129,0)</f>
        <v>19311395</v>
      </c>
    </row>
    <row r="130">
      <c r="A130" s="33" t="s">
        <v>26</v>
      </c>
      <c r="B130" s="31"/>
      <c r="C130" s="32"/>
      <c r="D130" s="39"/>
      <c r="E130" s="90"/>
      <c r="F130" s="41">
        <f>round(F129*10%,0)</f>
        <v>1931140</v>
      </c>
    </row>
    <row r="131">
      <c r="A131" s="33" t="s">
        <v>16</v>
      </c>
      <c r="B131" s="31"/>
      <c r="C131" s="32"/>
      <c r="D131" s="39"/>
      <c r="E131" s="90"/>
      <c r="F131" s="41">
        <f>F129+F130</f>
        <v>21242535</v>
      </c>
    </row>
  </sheetData>
  <mergeCells count="60">
    <mergeCell ref="A128:C128"/>
    <mergeCell ref="A129:C129"/>
    <mergeCell ref="A130:C130"/>
    <mergeCell ref="A131:C131"/>
    <mergeCell ref="A113:C113"/>
    <mergeCell ref="A114:C114"/>
    <mergeCell ref="A115:C115"/>
    <mergeCell ref="A116:C116"/>
    <mergeCell ref="A117:C117"/>
    <mergeCell ref="A123:F123"/>
    <mergeCell ref="A127:C127"/>
    <mergeCell ref="A1:F1"/>
    <mergeCell ref="A5:C5"/>
    <mergeCell ref="A6:C6"/>
    <mergeCell ref="A7:C7"/>
    <mergeCell ref="A8:C8"/>
    <mergeCell ref="A9:C9"/>
    <mergeCell ref="A14:F14"/>
    <mergeCell ref="A18:C18"/>
    <mergeCell ref="A19:C19"/>
    <mergeCell ref="A20:C20"/>
    <mergeCell ref="A21:C21"/>
    <mergeCell ref="A22:C22"/>
    <mergeCell ref="A28:F28"/>
    <mergeCell ref="A32:C32"/>
    <mergeCell ref="A33:C33"/>
    <mergeCell ref="A34:C34"/>
    <mergeCell ref="A35:C35"/>
    <mergeCell ref="A36:C36"/>
    <mergeCell ref="A42:F42"/>
    <mergeCell ref="A46:C46"/>
    <mergeCell ref="A47:C47"/>
    <mergeCell ref="A48:C48"/>
    <mergeCell ref="A49:C49"/>
    <mergeCell ref="A50:C50"/>
    <mergeCell ref="A55:F55"/>
    <mergeCell ref="A59:C59"/>
    <mergeCell ref="A60:C60"/>
    <mergeCell ref="A61:C61"/>
    <mergeCell ref="A62:C62"/>
    <mergeCell ref="A63:C63"/>
    <mergeCell ref="A68:F68"/>
    <mergeCell ref="A72:C72"/>
    <mergeCell ref="A73:C73"/>
    <mergeCell ref="A74:C74"/>
    <mergeCell ref="A75:C75"/>
    <mergeCell ref="A76:C76"/>
    <mergeCell ref="A81:F81"/>
    <mergeCell ref="A85:C85"/>
    <mergeCell ref="A86:C86"/>
    <mergeCell ref="A87:C87"/>
    <mergeCell ref="A88:C88"/>
    <mergeCell ref="A89:C89"/>
    <mergeCell ref="A95:F95"/>
    <mergeCell ref="A99:C99"/>
    <mergeCell ref="A100:C100"/>
    <mergeCell ref="A101:C101"/>
    <mergeCell ref="A102:C102"/>
    <mergeCell ref="A103:C103"/>
    <mergeCell ref="A109:F109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9.63"/>
    <col customWidth="1" min="3" max="3" width="11.63"/>
    <col customWidth="1" min="4" max="4" width="21.0"/>
    <col customWidth="1" min="5" max="5" width="11.75"/>
    <col customWidth="1" min="6" max="6" width="18.63"/>
  </cols>
  <sheetData>
    <row r="1">
      <c r="A1" s="52" t="s">
        <v>132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133</v>
      </c>
      <c r="C4" s="55">
        <v>45931.0</v>
      </c>
      <c r="D4" s="22">
        <v>315.66</v>
      </c>
      <c r="E4" s="56"/>
      <c r="F4" s="28"/>
    </row>
    <row r="5">
      <c r="A5" s="30" t="s">
        <v>113</v>
      </c>
      <c r="B5" s="31"/>
      <c r="C5" s="32"/>
      <c r="D5" s="24">
        <f>round(D4*10%,2)</f>
        <v>31.57</v>
      </c>
      <c r="E5" s="57"/>
      <c r="F5" s="28"/>
    </row>
    <row r="6">
      <c r="A6" s="30" t="s">
        <v>106</v>
      </c>
      <c r="B6" s="31"/>
      <c r="C6" s="32"/>
      <c r="D6" s="24">
        <f>round(D4*10%,2)</f>
        <v>31.57</v>
      </c>
      <c r="E6" s="57"/>
      <c r="F6" s="28"/>
    </row>
    <row r="7">
      <c r="A7" s="33" t="s">
        <v>9</v>
      </c>
      <c r="B7" s="31"/>
      <c r="C7" s="32"/>
      <c r="D7" s="39">
        <f>D4-D5+D6</f>
        <v>315.66</v>
      </c>
      <c r="E7" s="90">
        <v>26347.0</v>
      </c>
      <c r="F7" s="41">
        <f>round(D7*E7,0)</f>
        <v>8316694</v>
      </c>
    </row>
    <row r="8">
      <c r="A8" s="33" t="s">
        <v>26</v>
      </c>
      <c r="B8" s="31"/>
      <c r="C8" s="32"/>
      <c r="D8" s="39"/>
      <c r="E8" s="90"/>
      <c r="F8" s="41">
        <f>round(F7*10%,0)</f>
        <v>831669</v>
      </c>
    </row>
    <row r="9">
      <c r="A9" s="33" t="s">
        <v>16</v>
      </c>
      <c r="B9" s="31"/>
      <c r="C9" s="32"/>
      <c r="D9" s="39"/>
      <c r="E9" s="90"/>
      <c r="F9" s="41">
        <f>F7+F8</f>
        <v>9148363</v>
      </c>
    </row>
    <row r="15">
      <c r="A15" s="52" t="s">
        <v>132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133</v>
      </c>
      <c r="C18" s="55">
        <v>45962.0</v>
      </c>
      <c r="D18" s="22">
        <v>296.96</v>
      </c>
      <c r="E18" s="56"/>
      <c r="F18" s="28"/>
    </row>
    <row r="19">
      <c r="A19" s="30" t="s">
        <v>113</v>
      </c>
      <c r="B19" s="31"/>
      <c r="C19" s="32"/>
      <c r="D19" s="24">
        <f>round(D18*10%,2)</f>
        <v>29.7</v>
      </c>
      <c r="E19" s="57"/>
      <c r="F19" s="28"/>
    </row>
    <row r="20">
      <c r="A20" s="30" t="s">
        <v>106</v>
      </c>
      <c r="B20" s="31"/>
      <c r="C20" s="32"/>
      <c r="D20" s="24">
        <f>round(D18*10%,2)</f>
        <v>29.7</v>
      </c>
      <c r="E20" s="57"/>
      <c r="F20" s="28"/>
    </row>
    <row r="21">
      <c r="A21" s="33" t="s">
        <v>9</v>
      </c>
      <c r="B21" s="31"/>
      <c r="C21" s="32"/>
      <c r="D21" s="39">
        <f>D18-D19+D20</f>
        <v>296.96</v>
      </c>
      <c r="E21" s="90">
        <v>26412.0</v>
      </c>
      <c r="F21" s="41">
        <f>round(D21*E21,0)</f>
        <v>7843308</v>
      </c>
    </row>
    <row r="22">
      <c r="A22" s="33" t="s">
        <v>26</v>
      </c>
      <c r="B22" s="31"/>
      <c r="C22" s="32"/>
      <c r="D22" s="39"/>
      <c r="E22" s="90"/>
      <c r="F22" s="41">
        <f>round(F21*10%,0)</f>
        <v>784331</v>
      </c>
    </row>
    <row r="23">
      <c r="A23" s="33" t="s">
        <v>16</v>
      </c>
      <c r="B23" s="31"/>
      <c r="C23" s="32"/>
      <c r="D23" s="39"/>
      <c r="E23" s="90"/>
      <c r="F23" s="41">
        <f>F21+F22</f>
        <v>8627639</v>
      </c>
    </row>
    <row r="29">
      <c r="A29" s="52" t="s">
        <v>132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133</v>
      </c>
      <c r="C32" s="55">
        <v>45992.0</v>
      </c>
      <c r="D32" s="22">
        <v>288.14</v>
      </c>
      <c r="E32" s="56"/>
      <c r="F32" s="28"/>
    </row>
    <row r="33">
      <c r="A33" s="30" t="s">
        <v>113</v>
      </c>
      <c r="B33" s="31"/>
      <c r="C33" s="32"/>
      <c r="D33" s="24">
        <f>round(D32*10%,2)</f>
        <v>28.81</v>
      </c>
      <c r="E33" s="57"/>
      <c r="F33" s="28"/>
    </row>
    <row r="34">
      <c r="A34" s="30" t="s">
        <v>106</v>
      </c>
      <c r="B34" s="31"/>
      <c r="C34" s="32"/>
      <c r="D34" s="24">
        <f>round(D32*10%,2)</f>
        <v>28.81</v>
      </c>
      <c r="E34" s="57"/>
      <c r="F34" s="28"/>
    </row>
    <row r="35">
      <c r="A35" s="33" t="s">
        <v>9</v>
      </c>
      <c r="B35" s="31"/>
      <c r="C35" s="32"/>
      <c r="D35" s="39">
        <f>D32-D33+D34</f>
        <v>288.14</v>
      </c>
      <c r="E35" s="90">
        <v>26377.0</v>
      </c>
      <c r="F35" s="41">
        <f>round(D35*E35,0)</f>
        <v>7600269</v>
      </c>
    </row>
    <row r="36">
      <c r="A36" s="33" t="s">
        <v>26</v>
      </c>
      <c r="B36" s="31"/>
      <c r="C36" s="32"/>
      <c r="D36" s="39"/>
      <c r="E36" s="90"/>
      <c r="F36" s="41">
        <f>round(F35*10%,0)</f>
        <v>760027</v>
      </c>
    </row>
    <row r="37">
      <c r="A37" s="33" t="s">
        <v>16</v>
      </c>
      <c r="B37" s="31"/>
      <c r="C37" s="32"/>
      <c r="D37" s="39"/>
      <c r="E37" s="90"/>
      <c r="F37" s="41">
        <f>F35+F36</f>
        <v>8360296</v>
      </c>
    </row>
    <row r="43">
      <c r="A43" s="52" t="s">
        <v>132</v>
      </c>
    </row>
    <row r="44">
      <c r="A44" s="53"/>
      <c r="B44" s="53"/>
      <c r="C44" s="53"/>
      <c r="D44" s="53"/>
      <c r="E44" s="53"/>
      <c r="F44" s="53"/>
    </row>
    <row r="45">
      <c r="A45" s="9" t="s">
        <v>4</v>
      </c>
      <c r="B45" s="9" t="s">
        <v>5</v>
      </c>
      <c r="C45" s="9" t="s">
        <v>6</v>
      </c>
      <c r="D45" s="9" t="s">
        <v>7</v>
      </c>
      <c r="E45" s="9" t="s">
        <v>8</v>
      </c>
      <c r="F45" s="9" t="s">
        <v>9</v>
      </c>
    </row>
    <row r="46">
      <c r="A46" s="13">
        <v>1.0</v>
      </c>
      <c r="B46" s="54" t="s">
        <v>133</v>
      </c>
      <c r="C46" s="55">
        <v>46023.0</v>
      </c>
      <c r="D46" s="22">
        <v>317.34</v>
      </c>
      <c r="E46" s="56"/>
      <c r="F46" s="28"/>
    </row>
    <row r="47">
      <c r="A47" s="30" t="s">
        <v>113</v>
      </c>
      <c r="B47" s="31"/>
      <c r="C47" s="32"/>
      <c r="D47" s="24">
        <f>round(D46*10%,2)</f>
        <v>31.73</v>
      </c>
      <c r="E47" s="57"/>
      <c r="F47" s="28"/>
    </row>
    <row r="48">
      <c r="A48" s="30" t="s">
        <v>106</v>
      </c>
      <c r="B48" s="31"/>
      <c r="C48" s="32"/>
      <c r="D48" s="24">
        <f>round(D46*10%,2)</f>
        <v>31.73</v>
      </c>
      <c r="E48" s="57"/>
      <c r="F48" s="28"/>
    </row>
    <row r="49">
      <c r="A49" s="33" t="s">
        <v>9</v>
      </c>
      <c r="B49" s="31"/>
      <c r="C49" s="32"/>
      <c r="D49" s="39">
        <f>D46-D47+D48</f>
        <v>317.34</v>
      </c>
      <c r="E49" s="90">
        <v>26145.0</v>
      </c>
      <c r="F49" s="41">
        <f>round(D49*E49,0)</f>
        <v>8296854</v>
      </c>
    </row>
    <row r="50">
      <c r="A50" s="33" t="s">
        <v>26</v>
      </c>
      <c r="B50" s="31"/>
      <c r="C50" s="32"/>
      <c r="D50" s="39"/>
      <c r="E50" s="90"/>
      <c r="F50" s="41">
        <f>round(F49*10%,0)</f>
        <v>829685</v>
      </c>
    </row>
    <row r="51">
      <c r="A51" s="33" t="s">
        <v>16</v>
      </c>
      <c r="B51" s="31"/>
      <c r="C51" s="32"/>
      <c r="D51" s="39"/>
      <c r="E51" s="90"/>
      <c r="F51" s="41">
        <f>F49+F50</f>
        <v>9126539</v>
      </c>
    </row>
    <row r="57">
      <c r="A57" s="52" t="s">
        <v>132</v>
      </c>
    </row>
    <row r="58">
      <c r="A58" s="53"/>
      <c r="B58" s="53"/>
      <c r="C58" s="53"/>
      <c r="D58" s="53"/>
      <c r="E58" s="53"/>
      <c r="F58" s="53"/>
    </row>
    <row r="59">
      <c r="A59" s="9" t="s">
        <v>4</v>
      </c>
      <c r="B59" s="9" t="s">
        <v>5</v>
      </c>
      <c r="C59" s="9" t="s">
        <v>6</v>
      </c>
      <c r="D59" s="9" t="s">
        <v>7</v>
      </c>
      <c r="E59" s="9" t="s">
        <v>8</v>
      </c>
      <c r="F59" s="9" t="s">
        <v>9</v>
      </c>
    </row>
    <row r="60">
      <c r="A60" s="13">
        <v>1.0</v>
      </c>
      <c r="B60" s="54" t="s">
        <v>133</v>
      </c>
      <c r="C60" s="55">
        <v>46054.0</v>
      </c>
      <c r="D60" s="22">
        <v>391.35</v>
      </c>
      <c r="E60" s="56"/>
      <c r="F60" s="28"/>
    </row>
    <row r="61">
      <c r="A61" s="30" t="s">
        <v>113</v>
      </c>
      <c r="B61" s="31"/>
      <c r="C61" s="32"/>
      <c r="D61" s="24">
        <f>round(D60*10%,2)</f>
        <v>39.14</v>
      </c>
      <c r="E61" s="57"/>
      <c r="F61" s="28"/>
    </row>
    <row r="62">
      <c r="A62" s="30" t="s">
        <v>106</v>
      </c>
      <c r="B62" s="31"/>
      <c r="C62" s="32"/>
      <c r="D62" s="24">
        <f>round(D60*10%,2)</f>
        <v>39.14</v>
      </c>
      <c r="E62" s="57"/>
      <c r="F62" s="28"/>
    </row>
    <row r="63">
      <c r="A63" s="33" t="s">
        <v>9</v>
      </c>
      <c r="B63" s="31"/>
      <c r="C63" s="32"/>
      <c r="D63" s="39">
        <f>D60-D61+D62</f>
        <v>391.35</v>
      </c>
      <c r="E63" s="90">
        <v>26240.0</v>
      </c>
      <c r="F63" s="41">
        <f>round(D63*E63,0)</f>
        <v>10269024</v>
      </c>
    </row>
    <row r="64">
      <c r="A64" s="33" t="s">
        <v>26</v>
      </c>
      <c r="B64" s="31"/>
      <c r="C64" s="32"/>
      <c r="D64" s="39"/>
      <c r="E64" s="90"/>
      <c r="F64" s="41">
        <f>round(F63*10%,0)</f>
        <v>1026902</v>
      </c>
    </row>
    <row r="65">
      <c r="A65" s="33" t="s">
        <v>16</v>
      </c>
      <c r="B65" s="31"/>
      <c r="C65" s="32"/>
      <c r="D65" s="39"/>
      <c r="E65" s="90"/>
      <c r="F65" s="41">
        <f>F63+F64</f>
        <v>11295926</v>
      </c>
    </row>
    <row r="71">
      <c r="A71" s="52" t="s">
        <v>132</v>
      </c>
    </row>
    <row r="72">
      <c r="A72" s="53"/>
      <c r="B72" s="53"/>
      <c r="C72" s="53"/>
      <c r="D72" s="53"/>
      <c r="E72" s="53"/>
      <c r="F72" s="53"/>
    </row>
    <row r="73">
      <c r="A73" s="9" t="s">
        <v>4</v>
      </c>
      <c r="B73" s="9" t="s">
        <v>5</v>
      </c>
      <c r="C73" s="9" t="s">
        <v>6</v>
      </c>
      <c r="D73" s="9" t="s">
        <v>7</v>
      </c>
      <c r="E73" s="9" t="s">
        <v>8</v>
      </c>
      <c r="F73" s="9" t="s">
        <v>9</v>
      </c>
    </row>
    <row r="74">
      <c r="A74" s="13">
        <v>1.0</v>
      </c>
      <c r="B74" s="54" t="s">
        <v>133</v>
      </c>
      <c r="C74" s="55">
        <v>46082.0</v>
      </c>
      <c r="D74" s="22">
        <v>438.51</v>
      </c>
      <c r="E74" s="56"/>
      <c r="F74" s="28"/>
    </row>
    <row r="75">
      <c r="A75" s="30" t="s">
        <v>113</v>
      </c>
      <c r="B75" s="31"/>
      <c r="C75" s="32"/>
      <c r="D75" s="24">
        <f>round(D74*10%,2)</f>
        <v>43.85</v>
      </c>
      <c r="E75" s="57"/>
      <c r="F75" s="28"/>
    </row>
    <row r="76">
      <c r="A76" s="30" t="s">
        <v>106</v>
      </c>
      <c r="B76" s="31"/>
      <c r="C76" s="32"/>
      <c r="D76" s="24">
        <f>round(D74*10%,2)</f>
        <v>43.85</v>
      </c>
      <c r="E76" s="57"/>
      <c r="F76" s="28"/>
    </row>
    <row r="77">
      <c r="A77" s="33" t="s">
        <v>9</v>
      </c>
      <c r="B77" s="31"/>
      <c r="C77" s="32"/>
      <c r="D77" s="39">
        <f>D74-D75+D76</f>
        <v>438.51</v>
      </c>
      <c r="E77" s="90">
        <v>26357.0</v>
      </c>
      <c r="F77" s="41">
        <f>round(D77*E77,0)</f>
        <v>11557808</v>
      </c>
    </row>
    <row r="78">
      <c r="A78" s="33" t="s">
        <v>26</v>
      </c>
      <c r="B78" s="31"/>
      <c r="C78" s="32"/>
      <c r="D78" s="39"/>
      <c r="E78" s="90"/>
      <c r="F78" s="41">
        <f>round(F77*10%,0)</f>
        <v>1155781</v>
      </c>
    </row>
    <row r="79">
      <c r="A79" s="33" t="s">
        <v>16</v>
      </c>
      <c r="B79" s="31"/>
      <c r="C79" s="32"/>
      <c r="D79" s="39"/>
      <c r="E79" s="90"/>
      <c r="F79" s="41">
        <f>F77+F78</f>
        <v>12713589</v>
      </c>
    </row>
    <row r="85">
      <c r="A85" s="52" t="s">
        <v>132</v>
      </c>
    </row>
    <row r="86">
      <c r="A86" s="53"/>
      <c r="B86" s="53"/>
      <c r="C86" s="53"/>
      <c r="D86" s="53"/>
      <c r="E86" s="53"/>
      <c r="F86" s="53"/>
    </row>
    <row r="87">
      <c r="A87" s="9" t="s">
        <v>4</v>
      </c>
      <c r="B87" s="9" t="s">
        <v>5</v>
      </c>
      <c r="C87" s="9" t="s">
        <v>6</v>
      </c>
      <c r="D87" s="9" t="s">
        <v>7</v>
      </c>
      <c r="E87" s="9" t="s">
        <v>8</v>
      </c>
      <c r="F87" s="9" t="s">
        <v>9</v>
      </c>
    </row>
    <row r="88">
      <c r="A88" s="13">
        <v>1.0</v>
      </c>
      <c r="B88" s="54" t="s">
        <v>133</v>
      </c>
      <c r="C88" s="55">
        <v>46113.0</v>
      </c>
      <c r="D88" s="22">
        <v>540.27</v>
      </c>
      <c r="E88" s="56"/>
      <c r="F88" s="28"/>
    </row>
    <row r="89">
      <c r="A89" s="30" t="s">
        <v>113</v>
      </c>
      <c r="B89" s="31"/>
      <c r="C89" s="32"/>
      <c r="D89" s="24">
        <f>round(D88*10%,2)</f>
        <v>54.03</v>
      </c>
      <c r="E89" s="57"/>
      <c r="F89" s="28"/>
    </row>
    <row r="90">
      <c r="A90" s="30" t="s">
        <v>106</v>
      </c>
      <c r="B90" s="31"/>
      <c r="C90" s="32"/>
      <c r="D90" s="24">
        <f>round(D88*10%,2)</f>
        <v>54.03</v>
      </c>
      <c r="E90" s="57"/>
      <c r="F90" s="28"/>
    </row>
    <row r="91">
      <c r="A91" s="33" t="s">
        <v>9</v>
      </c>
      <c r="B91" s="31"/>
      <c r="C91" s="32"/>
      <c r="D91" s="39">
        <f>D88-D89+D90</f>
        <v>540.27</v>
      </c>
      <c r="E91" s="90">
        <v>26368.0</v>
      </c>
      <c r="F91" s="41">
        <f>round(D91*E91,0)</f>
        <v>14245839</v>
      </c>
    </row>
    <row r="92">
      <c r="A92" s="33" t="s">
        <v>26</v>
      </c>
      <c r="B92" s="31"/>
      <c r="C92" s="32"/>
      <c r="D92" s="39"/>
      <c r="E92" s="90"/>
      <c r="F92" s="41">
        <f>round(F91*10%,0)</f>
        <v>1424584</v>
      </c>
    </row>
    <row r="93">
      <c r="A93" s="33" t="s">
        <v>16</v>
      </c>
      <c r="B93" s="31"/>
      <c r="C93" s="32"/>
      <c r="D93" s="39"/>
      <c r="E93" s="90"/>
      <c r="F93" s="41">
        <f>F91+F92</f>
        <v>15670423</v>
      </c>
    </row>
    <row r="99">
      <c r="A99" s="52" t="s">
        <v>132</v>
      </c>
    </row>
    <row r="100">
      <c r="A100" s="53"/>
      <c r="B100" s="53"/>
      <c r="C100" s="53"/>
      <c r="D100" s="53"/>
      <c r="E100" s="53"/>
      <c r="F100" s="53"/>
    </row>
    <row r="101">
      <c r="A101" s="9" t="s">
        <v>4</v>
      </c>
      <c r="B101" s="9" t="s">
        <v>5</v>
      </c>
      <c r="C101" s="9" t="s">
        <v>6</v>
      </c>
      <c r="D101" s="9" t="s">
        <v>7</v>
      </c>
      <c r="E101" s="9" t="s">
        <v>8</v>
      </c>
      <c r="F101" s="9" t="s">
        <v>9</v>
      </c>
    </row>
    <row r="102">
      <c r="A102" s="13">
        <v>1.0</v>
      </c>
      <c r="B102" s="54" t="s">
        <v>133</v>
      </c>
      <c r="C102" s="55">
        <v>46143.0</v>
      </c>
      <c r="D102" s="22">
        <v>894.77</v>
      </c>
      <c r="E102" s="56"/>
      <c r="F102" s="28"/>
    </row>
    <row r="103">
      <c r="A103" s="30" t="s">
        <v>113</v>
      </c>
      <c r="B103" s="31"/>
      <c r="C103" s="32"/>
      <c r="D103" s="24">
        <f>round(D102*10%,2)</f>
        <v>89.48</v>
      </c>
      <c r="E103" s="57"/>
      <c r="F103" s="28"/>
    </row>
    <row r="104">
      <c r="A104" s="30" t="s">
        <v>106</v>
      </c>
      <c r="B104" s="31"/>
      <c r="C104" s="32"/>
      <c r="D104" s="24">
        <f>round(D102*10%,2)</f>
        <v>89.48</v>
      </c>
      <c r="E104" s="57"/>
      <c r="F104" s="28"/>
    </row>
    <row r="105">
      <c r="A105" s="33" t="s">
        <v>9</v>
      </c>
      <c r="B105" s="31"/>
      <c r="C105" s="32"/>
      <c r="D105" s="39">
        <f>D102-D103+D104</f>
        <v>894.77</v>
      </c>
      <c r="E105" s="90">
        <v>26395.0</v>
      </c>
      <c r="F105" s="41">
        <f>round(D105*E105,0)</f>
        <v>23617454</v>
      </c>
    </row>
    <row r="106">
      <c r="A106" s="33" t="s">
        <v>26</v>
      </c>
      <c r="B106" s="31"/>
      <c r="C106" s="32"/>
      <c r="D106" s="39"/>
      <c r="E106" s="90"/>
      <c r="F106" s="41">
        <f>round(F105*10%,0)</f>
        <v>2361745</v>
      </c>
    </row>
    <row r="107">
      <c r="A107" s="33" t="s">
        <v>16</v>
      </c>
      <c r="B107" s="31"/>
      <c r="C107" s="32"/>
      <c r="D107" s="39"/>
      <c r="E107" s="90"/>
      <c r="F107" s="41">
        <f>F105+F106</f>
        <v>25979199</v>
      </c>
    </row>
    <row r="112">
      <c r="A112" s="52" t="s">
        <v>132</v>
      </c>
    </row>
    <row r="113">
      <c r="A113" s="53"/>
      <c r="B113" s="53"/>
      <c r="C113" s="53"/>
      <c r="D113" s="53"/>
      <c r="E113" s="53"/>
      <c r="F113" s="53"/>
    </row>
    <row r="114">
      <c r="A114" s="9" t="s">
        <v>4</v>
      </c>
      <c r="B114" s="9" t="s">
        <v>5</v>
      </c>
      <c r="C114" s="9" t="s">
        <v>6</v>
      </c>
      <c r="D114" s="9" t="s">
        <v>7</v>
      </c>
      <c r="E114" s="9" t="s">
        <v>8</v>
      </c>
      <c r="F114" s="9" t="s">
        <v>9</v>
      </c>
    </row>
    <row r="115">
      <c r="A115" s="13">
        <v>1.0</v>
      </c>
      <c r="B115" s="54" t="s">
        <v>133</v>
      </c>
      <c r="C115" s="55">
        <v>46174.0</v>
      </c>
      <c r="D115" s="22">
        <v>1112.83</v>
      </c>
      <c r="E115" s="56"/>
      <c r="F115" s="28"/>
    </row>
    <row r="116">
      <c r="A116" s="30" t="s">
        <v>113</v>
      </c>
      <c r="B116" s="31"/>
      <c r="C116" s="32"/>
      <c r="D116" s="24">
        <f>round(D115*10%,2)</f>
        <v>111.28</v>
      </c>
      <c r="E116" s="57"/>
      <c r="F116" s="28"/>
    </row>
    <row r="117">
      <c r="A117" s="30" t="s">
        <v>106</v>
      </c>
      <c r="B117" s="31"/>
      <c r="C117" s="32"/>
      <c r="D117" s="24">
        <f>round(D115*10%,2)</f>
        <v>111.28</v>
      </c>
      <c r="E117" s="57"/>
      <c r="F117" s="28"/>
    </row>
    <row r="118">
      <c r="A118" s="33" t="s">
        <v>9</v>
      </c>
      <c r="B118" s="31"/>
      <c r="C118" s="32"/>
      <c r="D118" s="39">
        <f>D115-D116+D117</f>
        <v>1112.83</v>
      </c>
      <c r="E118" s="90">
        <v>26466.0</v>
      </c>
      <c r="F118" s="41">
        <f>round(D118*E118,0)</f>
        <v>29452159</v>
      </c>
    </row>
    <row r="119">
      <c r="A119" s="33" t="s">
        <v>26</v>
      </c>
      <c r="B119" s="31"/>
      <c r="C119" s="32"/>
      <c r="D119" s="39"/>
      <c r="E119" s="90"/>
      <c r="F119" s="41">
        <f>round(F118*10%,0)</f>
        <v>2945216</v>
      </c>
    </row>
    <row r="120">
      <c r="A120" s="33" t="s">
        <v>16</v>
      </c>
      <c r="B120" s="31"/>
      <c r="C120" s="32"/>
      <c r="D120" s="39"/>
      <c r="E120" s="90"/>
      <c r="F120" s="41">
        <f>F118+F119</f>
        <v>32397375</v>
      </c>
    </row>
    <row r="126">
      <c r="A126" s="52" t="s">
        <v>132</v>
      </c>
    </row>
    <row r="127">
      <c r="A127" s="53"/>
      <c r="B127" s="53"/>
      <c r="C127" s="53"/>
      <c r="D127" s="53"/>
      <c r="E127" s="53"/>
      <c r="F127" s="53"/>
    </row>
    <row r="128">
      <c r="A128" s="9" t="s">
        <v>4</v>
      </c>
      <c r="B128" s="9" t="s">
        <v>5</v>
      </c>
      <c r="C128" s="9" t="s">
        <v>6</v>
      </c>
      <c r="D128" s="9" t="s">
        <v>7</v>
      </c>
      <c r="E128" s="9" t="s">
        <v>8</v>
      </c>
      <c r="F128" s="9" t="s">
        <v>9</v>
      </c>
    </row>
    <row r="129">
      <c r="A129" s="13">
        <v>1.0</v>
      </c>
      <c r="B129" s="54" t="s">
        <v>133</v>
      </c>
      <c r="C129" s="55">
        <v>46204.0</v>
      </c>
      <c r="D129" s="22">
        <v>1034.67</v>
      </c>
      <c r="E129" s="56"/>
      <c r="F129" s="28"/>
    </row>
    <row r="130">
      <c r="A130" s="30" t="s">
        <v>113</v>
      </c>
      <c r="B130" s="31"/>
      <c r="C130" s="32"/>
      <c r="D130" s="24">
        <f>round(D129*10%,2)</f>
        <v>103.47</v>
      </c>
      <c r="E130" s="57"/>
      <c r="F130" s="28"/>
    </row>
    <row r="131">
      <c r="A131" s="30" t="s">
        <v>106</v>
      </c>
      <c r="B131" s="31"/>
      <c r="C131" s="32"/>
      <c r="D131" s="24">
        <f>round(D129*10%,2)</f>
        <v>103.47</v>
      </c>
      <c r="E131" s="57"/>
      <c r="F131" s="28"/>
    </row>
    <row r="132">
      <c r="A132" s="33" t="s">
        <v>9</v>
      </c>
      <c r="B132" s="31"/>
      <c r="C132" s="32"/>
      <c r="D132" s="39">
        <f>D129-D130+D131</f>
        <v>1034.67</v>
      </c>
      <c r="E132" s="90">
        <v>26475.0</v>
      </c>
      <c r="F132" s="41">
        <f>round(D132*E132,0)</f>
        <v>27392888</v>
      </c>
    </row>
    <row r="133">
      <c r="A133" s="33" t="s">
        <v>26</v>
      </c>
      <c r="B133" s="31"/>
      <c r="C133" s="32"/>
      <c r="D133" s="39"/>
      <c r="E133" s="90"/>
      <c r="F133" s="41">
        <f>round(F132*10%,0)</f>
        <v>2739289</v>
      </c>
    </row>
    <row r="134">
      <c r="A134" s="33" t="s">
        <v>16</v>
      </c>
      <c r="B134" s="31"/>
      <c r="C134" s="32"/>
      <c r="D134" s="39"/>
      <c r="E134" s="90"/>
      <c r="F134" s="41">
        <f>F132+F133</f>
        <v>30132177</v>
      </c>
    </row>
  </sheetData>
  <mergeCells count="60">
    <mergeCell ref="A131:C131"/>
    <mergeCell ref="A132:C132"/>
    <mergeCell ref="A133:C133"/>
    <mergeCell ref="A134:C134"/>
    <mergeCell ref="A116:C116"/>
    <mergeCell ref="A117:C117"/>
    <mergeCell ref="A118:C118"/>
    <mergeCell ref="A119:C119"/>
    <mergeCell ref="A120:C120"/>
    <mergeCell ref="A126:F126"/>
    <mergeCell ref="A130:C130"/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29:F29"/>
    <mergeCell ref="A33:C33"/>
    <mergeCell ref="A34:C34"/>
    <mergeCell ref="A35:C35"/>
    <mergeCell ref="A36:C36"/>
    <mergeCell ref="A37:C37"/>
    <mergeCell ref="A43:F43"/>
    <mergeCell ref="A47:C47"/>
    <mergeCell ref="A48:C48"/>
    <mergeCell ref="A49:C49"/>
    <mergeCell ref="A50:C50"/>
    <mergeCell ref="A51:C51"/>
    <mergeCell ref="A57:F57"/>
    <mergeCell ref="A61:C61"/>
    <mergeCell ref="A62:C62"/>
    <mergeCell ref="A63:C63"/>
    <mergeCell ref="A64:C64"/>
    <mergeCell ref="A65:C65"/>
    <mergeCell ref="A71:F71"/>
    <mergeCell ref="A75:C75"/>
    <mergeCell ref="A76:C76"/>
    <mergeCell ref="A77:C77"/>
    <mergeCell ref="A78:C78"/>
    <mergeCell ref="A79:C79"/>
    <mergeCell ref="A85:F85"/>
    <mergeCell ref="A89:C89"/>
    <mergeCell ref="A90:C90"/>
    <mergeCell ref="A91:C91"/>
    <mergeCell ref="A92:C92"/>
    <mergeCell ref="A93:C93"/>
    <mergeCell ref="A99:F99"/>
    <mergeCell ref="A103:C103"/>
    <mergeCell ref="A104:C104"/>
    <mergeCell ref="A105:C105"/>
    <mergeCell ref="A106:C106"/>
    <mergeCell ref="A107:C107"/>
    <mergeCell ref="A112:F112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9.63"/>
    <col customWidth="1" min="3" max="3" width="11.63"/>
    <col customWidth="1" min="4" max="4" width="21.0"/>
    <col customWidth="1" min="5" max="5" width="11.75"/>
    <col customWidth="1" min="6" max="6" width="18.63"/>
  </cols>
  <sheetData>
    <row r="1">
      <c r="A1" s="52" t="s">
        <v>135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136</v>
      </c>
      <c r="C4" s="55">
        <v>45931.0</v>
      </c>
      <c r="D4" s="22">
        <v>251.18</v>
      </c>
      <c r="E4" s="56"/>
      <c r="F4" s="28"/>
    </row>
    <row r="5">
      <c r="A5" s="30" t="s">
        <v>113</v>
      </c>
      <c r="B5" s="31"/>
      <c r="C5" s="32"/>
      <c r="D5" s="24">
        <f>round(D4*10%,2)</f>
        <v>25.12</v>
      </c>
      <c r="E5" s="57"/>
      <c r="F5" s="28"/>
    </row>
    <row r="6">
      <c r="A6" s="30" t="s">
        <v>106</v>
      </c>
      <c r="B6" s="31"/>
      <c r="C6" s="32"/>
      <c r="D6" s="24">
        <f>round(D4*10%,2)</f>
        <v>25.12</v>
      </c>
      <c r="E6" s="57"/>
      <c r="F6" s="28"/>
    </row>
    <row r="7">
      <c r="A7" s="33" t="s">
        <v>9</v>
      </c>
      <c r="B7" s="31"/>
      <c r="C7" s="32"/>
      <c r="D7" s="39">
        <f>D4-D5+D6</f>
        <v>251.18</v>
      </c>
      <c r="E7" s="90">
        <v>26347.0</v>
      </c>
      <c r="F7" s="41">
        <f>round(D7*E7,0)</f>
        <v>6617839</v>
      </c>
    </row>
    <row r="8">
      <c r="A8" s="33" t="s">
        <v>26</v>
      </c>
      <c r="B8" s="31"/>
      <c r="C8" s="32"/>
      <c r="D8" s="39"/>
      <c r="E8" s="90"/>
      <c r="F8" s="41">
        <f>round(F7*10%,0)</f>
        <v>661784</v>
      </c>
    </row>
    <row r="9">
      <c r="A9" s="33" t="s">
        <v>16</v>
      </c>
      <c r="B9" s="31"/>
      <c r="C9" s="32"/>
      <c r="D9" s="39"/>
      <c r="E9" s="90"/>
      <c r="F9" s="41">
        <f>F7+F8</f>
        <v>7279623</v>
      </c>
    </row>
    <row r="15">
      <c r="A15" s="52" t="s">
        <v>135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136</v>
      </c>
      <c r="C18" s="55">
        <v>45962.0</v>
      </c>
      <c r="D18" s="22">
        <v>212.55</v>
      </c>
      <c r="E18" s="56"/>
      <c r="F18" s="28"/>
    </row>
    <row r="19">
      <c r="A19" s="30" t="s">
        <v>113</v>
      </c>
      <c r="B19" s="31"/>
      <c r="C19" s="32"/>
      <c r="D19" s="24">
        <f>round(D18*10%,2)</f>
        <v>21.26</v>
      </c>
      <c r="E19" s="57"/>
      <c r="F19" s="28"/>
    </row>
    <row r="20">
      <c r="A20" s="30" t="s">
        <v>106</v>
      </c>
      <c r="B20" s="31"/>
      <c r="C20" s="32"/>
      <c r="D20" s="24">
        <f>round(D18*10%,2)</f>
        <v>21.26</v>
      </c>
      <c r="E20" s="57"/>
      <c r="F20" s="28"/>
    </row>
    <row r="21">
      <c r="A21" s="33" t="s">
        <v>9</v>
      </c>
      <c r="B21" s="31"/>
      <c r="C21" s="32"/>
      <c r="D21" s="39">
        <f>D18-D19+D20</f>
        <v>212.55</v>
      </c>
      <c r="E21" s="90">
        <v>26412.0</v>
      </c>
      <c r="F21" s="41">
        <f>round(D21*E21,0)</f>
        <v>5613871</v>
      </c>
    </row>
    <row r="22">
      <c r="A22" s="33" t="s">
        <v>26</v>
      </c>
      <c r="B22" s="31"/>
      <c r="C22" s="32"/>
      <c r="D22" s="39"/>
      <c r="E22" s="90"/>
      <c r="F22" s="41">
        <f>round(F21*10%,0)</f>
        <v>561387</v>
      </c>
    </row>
    <row r="23">
      <c r="A23" s="33" t="s">
        <v>16</v>
      </c>
      <c r="B23" s="31"/>
      <c r="C23" s="32"/>
      <c r="D23" s="39"/>
      <c r="E23" s="90"/>
      <c r="F23" s="41">
        <f>F21+F22</f>
        <v>6175258</v>
      </c>
    </row>
    <row r="29">
      <c r="A29" s="52" t="s">
        <v>135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136</v>
      </c>
      <c r="C32" s="55">
        <v>45992.0</v>
      </c>
      <c r="D32" s="22">
        <v>212.55</v>
      </c>
      <c r="E32" s="56"/>
      <c r="F32" s="28"/>
    </row>
    <row r="33">
      <c r="A33" s="30" t="s">
        <v>113</v>
      </c>
      <c r="B33" s="31"/>
      <c r="C33" s="32"/>
      <c r="D33" s="24">
        <f>round(D32*10%,2)</f>
        <v>21.26</v>
      </c>
      <c r="E33" s="57"/>
      <c r="F33" s="28"/>
    </row>
    <row r="34">
      <c r="A34" s="30" t="s">
        <v>106</v>
      </c>
      <c r="B34" s="31"/>
      <c r="C34" s="32"/>
      <c r="D34" s="24">
        <f>round(D32*10%,2)</f>
        <v>21.26</v>
      </c>
      <c r="E34" s="57"/>
      <c r="F34" s="28"/>
    </row>
    <row r="35">
      <c r="A35" s="33" t="s">
        <v>9</v>
      </c>
      <c r="B35" s="31"/>
      <c r="C35" s="32"/>
      <c r="D35" s="39">
        <f>D32-D33+D34</f>
        <v>212.55</v>
      </c>
      <c r="E35" s="90">
        <v>26377.0</v>
      </c>
      <c r="F35" s="41">
        <f>round(D35*E35,0)</f>
        <v>5606431</v>
      </c>
    </row>
    <row r="36">
      <c r="A36" s="33" t="s">
        <v>26</v>
      </c>
      <c r="B36" s="31"/>
      <c r="C36" s="32"/>
      <c r="D36" s="39"/>
      <c r="E36" s="90"/>
      <c r="F36" s="41">
        <f>round(F35*10%,0)</f>
        <v>560643</v>
      </c>
    </row>
    <row r="37">
      <c r="A37" s="33" t="s">
        <v>16</v>
      </c>
      <c r="B37" s="31"/>
      <c r="C37" s="32"/>
      <c r="D37" s="39"/>
      <c r="E37" s="90"/>
      <c r="F37" s="41">
        <f>F35+F36</f>
        <v>6167074</v>
      </c>
    </row>
    <row r="43">
      <c r="A43" s="52" t="s">
        <v>135</v>
      </c>
    </row>
    <row r="44">
      <c r="A44" s="53"/>
      <c r="B44" s="53"/>
      <c r="C44" s="53"/>
      <c r="D44" s="53"/>
      <c r="E44" s="53"/>
      <c r="F44" s="53"/>
    </row>
    <row r="45">
      <c r="A45" s="9" t="s">
        <v>4</v>
      </c>
      <c r="B45" s="9" t="s">
        <v>5</v>
      </c>
      <c r="C45" s="9" t="s">
        <v>6</v>
      </c>
      <c r="D45" s="9" t="s">
        <v>7</v>
      </c>
      <c r="E45" s="9" t="s">
        <v>8</v>
      </c>
      <c r="F45" s="9" t="s">
        <v>9</v>
      </c>
    </row>
    <row r="46">
      <c r="A46" s="13">
        <v>1.0</v>
      </c>
      <c r="B46" s="54" t="s">
        <v>136</v>
      </c>
      <c r="C46" s="55">
        <v>46023.0</v>
      </c>
      <c r="D46" s="22">
        <v>212.55</v>
      </c>
      <c r="E46" s="56"/>
      <c r="F46" s="28"/>
    </row>
    <row r="47">
      <c r="A47" s="30" t="s">
        <v>113</v>
      </c>
      <c r="B47" s="31"/>
      <c r="C47" s="32"/>
      <c r="D47" s="24">
        <f>round(D46*10%,2)</f>
        <v>21.26</v>
      </c>
      <c r="E47" s="57"/>
      <c r="F47" s="28"/>
    </row>
    <row r="48">
      <c r="A48" s="30" t="s">
        <v>106</v>
      </c>
      <c r="B48" s="31"/>
      <c r="C48" s="32"/>
      <c r="D48" s="24">
        <f>round(D46*10%,2)</f>
        <v>21.26</v>
      </c>
      <c r="E48" s="57"/>
      <c r="F48" s="28"/>
    </row>
    <row r="49">
      <c r="A49" s="33" t="s">
        <v>9</v>
      </c>
      <c r="B49" s="31"/>
      <c r="C49" s="32"/>
      <c r="D49" s="39">
        <f>D46-D47+D48</f>
        <v>212.55</v>
      </c>
      <c r="E49" s="90">
        <v>26145.0</v>
      </c>
      <c r="F49" s="41">
        <f>round(D49*E49,0)</f>
        <v>5557120</v>
      </c>
    </row>
    <row r="50">
      <c r="A50" s="33" t="s">
        <v>26</v>
      </c>
      <c r="B50" s="31"/>
      <c r="C50" s="32"/>
      <c r="D50" s="39"/>
      <c r="E50" s="90"/>
      <c r="F50" s="41">
        <f>round(F49*10%,0)</f>
        <v>555712</v>
      </c>
    </row>
    <row r="51">
      <c r="A51" s="33" t="s">
        <v>16</v>
      </c>
      <c r="B51" s="31"/>
      <c r="C51" s="32"/>
      <c r="D51" s="39"/>
      <c r="E51" s="90"/>
      <c r="F51" s="41">
        <f>F49+F50</f>
        <v>6112832</v>
      </c>
    </row>
    <row r="56">
      <c r="A56" s="52" t="s">
        <v>135</v>
      </c>
    </row>
    <row r="57">
      <c r="A57" s="53"/>
      <c r="B57" s="53"/>
      <c r="C57" s="53"/>
      <c r="D57" s="53"/>
      <c r="E57" s="53"/>
      <c r="F57" s="53"/>
    </row>
    <row r="58">
      <c r="A58" s="9" t="s">
        <v>4</v>
      </c>
      <c r="B58" s="9" t="s">
        <v>5</v>
      </c>
      <c r="C58" s="9" t="s">
        <v>6</v>
      </c>
      <c r="D58" s="9" t="s">
        <v>7</v>
      </c>
      <c r="E58" s="9" t="s">
        <v>8</v>
      </c>
      <c r="F58" s="9" t="s">
        <v>9</v>
      </c>
    </row>
    <row r="59">
      <c r="A59" s="13">
        <v>1.0</v>
      </c>
      <c r="B59" s="54" t="s">
        <v>136</v>
      </c>
      <c r="C59" s="55">
        <v>46054.0</v>
      </c>
      <c r="D59" s="22">
        <v>212.55</v>
      </c>
      <c r="E59" s="56"/>
      <c r="F59" s="28"/>
    </row>
    <row r="60">
      <c r="A60" s="30" t="s">
        <v>113</v>
      </c>
      <c r="B60" s="31"/>
      <c r="C60" s="32"/>
      <c r="D60" s="24">
        <f>round(D59*10%,2)</f>
        <v>21.26</v>
      </c>
      <c r="E60" s="57"/>
      <c r="F60" s="28"/>
    </row>
    <row r="61">
      <c r="A61" s="30" t="s">
        <v>106</v>
      </c>
      <c r="B61" s="31"/>
      <c r="C61" s="32"/>
      <c r="D61" s="24">
        <f>round(D59*10%,2)</f>
        <v>21.26</v>
      </c>
      <c r="E61" s="57"/>
      <c r="F61" s="28"/>
    </row>
    <row r="62">
      <c r="A62" s="33" t="s">
        <v>9</v>
      </c>
      <c r="B62" s="31"/>
      <c r="C62" s="32"/>
      <c r="D62" s="39">
        <f>D59-D60+D61</f>
        <v>212.55</v>
      </c>
      <c r="E62" s="90">
        <v>26240.0</v>
      </c>
      <c r="F62" s="41">
        <f>round(D62*E62,0)</f>
        <v>5577312</v>
      </c>
    </row>
    <row r="63">
      <c r="A63" s="33" t="s">
        <v>26</v>
      </c>
      <c r="B63" s="31"/>
      <c r="C63" s="32"/>
      <c r="D63" s="39"/>
      <c r="E63" s="90"/>
      <c r="F63" s="41">
        <f>round(F62*10%,0)</f>
        <v>557731</v>
      </c>
    </row>
    <row r="64">
      <c r="A64" s="33" t="s">
        <v>16</v>
      </c>
      <c r="B64" s="31"/>
      <c r="C64" s="32"/>
      <c r="D64" s="39"/>
      <c r="E64" s="90"/>
      <c r="F64" s="41">
        <f>F62+F63</f>
        <v>6135043</v>
      </c>
    </row>
    <row r="70">
      <c r="A70" s="52" t="s">
        <v>135</v>
      </c>
    </row>
    <row r="71">
      <c r="A71" s="53"/>
      <c r="B71" s="53"/>
      <c r="C71" s="53"/>
      <c r="D71" s="53"/>
      <c r="E71" s="53"/>
      <c r="F71" s="53"/>
    </row>
    <row r="72">
      <c r="A72" s="9" t="s">
        <v>4</v>
      </c>
      <c r="B72" s="9" t="s">
        <v>5</v>
      </c>
      <c r="C72" s="9" t="s">
        <v>6</v>
      </c>
      <c r="D72" s="9" t="s">
        <v>7</v>
      </c>
      <c r="E72" s="9" t="s">
        <v>8</v>
      </c>
      <c r="F72" s="9" t="s">
        <v>9</v>
      </c>
    </row>
    <row r="73">
      <c r="A73" s="13">
        <v>1.0</v>
      </c>
      <c r="B73" s="54" t="s">
        <v>136</v>
      </c>
      <c r="C73" s="55">
        <v>46082.0</v>
      </c>
      <c r="D73" s="22">
        <v>220.11</v>
      </c>
      <c r="E73" s="56"/>
      <c r="F73" s="28"/>
    </row>
    <row r="74">
      <c r="A74" s="30" t="s">
        <v>113</v>
      </c>
      <c r="B74" s="31"/>
      <c r="C74" s="32"/>
      <c r="D74" s="24">
        <f>round(D73*10%,2)</f>
        <v>22.01</v>
      </c>
      <c r="E74" s="57"/>
      <c r="F74" s="28"/>
    </row>
    <row r="75">
      <c r="A75" s="30" t="s">
        <v>106</v>
      </c>
      <c r="B75" s="31"/>
      <c r="C75" s="32"/>
      <c r="D75" s="24">
        <f>round(D73*10%,2)</f>
        <v>22.01</v>
      </c>
      <c r="E75" s="57"/>
      <c r="F75" s="28"/>
    </row>
    <row r="76">
      <c r="A76" s="33" t="s">
        <v>9</v>
      </c>
      <c r="B76" s="31"/>
      <c r="C76" s="32"/>
      <c r="D76" s="39">
        <f>D73-D74+D75</f>
        <v>220.11</v>
      </c>
      <c r="E76" s="90">
        <v>26357.0</v>
      </c>
      <c r="F76" s="41">
        <f>round(D76*E76,0)</f>
        <v>5801439</v>
      </c>
    </row>
    <row r="77">
      <c r="A77" s="33" t="s">
        <v>26</v>
      </c>
      <c r="B77" s="31"/>
      <c r="C77" s="32"/>
      <c r="D77" s="39"/>
      <c r="E77" s="90"/>
      <c r="F77" s="41">
        <f>round(F76*10%,0)</f>
        <v>580144</v>
      </c>
    </row>
    <row r="78">
      <c r="A78" s="33" t="s">
        <v>16</v>
      </c>
      <c r="B78" s="31"/>
      <c r="C78" s="32"/>
      <c r="D78" s="39"/>
      <c r="E78" s="90"/>
      <c r="F78" s="41">
        <f>F76+F77</f>
        <v>6381583</v>
      </c>
    </row>
    <row r="84">
      <c r="A84" s="52" t="s">
        <v>135</v>
      </c>
    </row>
    <row r="85">
      <c r="A85" s="53"/>
      <c r="B85" s="53"/>
      <c r="C85" s="53"/>
      <c r="D85" s="53"/>
      <c r="E85" s="53"/>
      <c r="F85" s="53"/>
    </row>
    <row r="86">
      <c r="A86" s="9" t="s">
        <v>4</v>
      </c>
      <c r="B86" s="9" t="s">
        <v>5</v>
      </c>
      <c r="C86" s="9" t="s">
        <v>6</v>
      </c>
      <c r="D86" s="9" t="s">
        <v>7</v>
      </c>
      <c r="E86" s="9" t="s">
        <v>8</v>
      </c>
      <c r="F86" s="9" t="s">
        <v>9</v>
      </c>
    </row>
    <row r="87">
      <c r="A87" s="13">
        <v>1.0</v>
      </c>
      <c r="B87" s="54" t="s">
        <v>136</v>
      </c>
      <c r="C87" s="55">
        <v>46113.0</v>
      </c>
      <c r="D87" s="22">
        <v>228.55</v>
      </c>
      <c r="E87" s="56"/>
      <c r="F87" s="28"/>
    </row>
    <row r="88">
      <c r="A88" s="30" t="s">
        <v>113</v>
      </c>
      <c r="B88" s="31"/>
      <c r="C88" s="32"/>
      <c r="D88" s="24">
        <f>round(D87*10%,2)</f>
        <v>22.86</v>
      </c>
      <c r="E88" s="57"/>
      <c r="F88" s="28"/>
    </row>
    <row r="89">
      <c r="A89" s="30" t="s">
        <v>106</v>
      </c>
      <c r="B89" s="31"/>
      <c r="C89" s="32"/>
      <c r="D89" s="24">
        <f>round(D87*10%,2)</f>
        <v>22.86</v>
      </c>
      <c r="E89" s="57"/>
      <c r="F89" s="28"/>
    </row>
    <row r="90">
      <c r="A90" s="33" t="s">
        <v>9</v>
      </c>
      <c r="B90" s="31"/>
      <c r="C90" s="32"/>
      <c r="D90" s="39">
        <f>D87-D88+D89</f>
        <v>228.55</v>
      </c>
      <c r="E90" s="90">
        <v>26368.0</v>
      </c>
      <c r="F90" s="41">
        <f>round(D90*E90,0)</f>
        <v>6026406</v>
      </c>
    </row>
    <row r="91">
      <c r="A91" s="33" t="s">
        <v>26</v>
      </c>
      <c r="B91" s="31"/>
      <c r="C91" s="32"/>
      <c r="D91" s="39"/>
      <c r="E91" s="90"/>
      <c r="F91" s="41">
        <f>round(F90*10%,0)</f>
        <v>602641</v>
      </c>
    </row>
    <row r="92">
      <c r="A92" s="33" t="s">
        <v>16</v>
      </c>
      <c r="B92" s="31"/>
      <c r="C92" s="32"/>
      <c r="D92" s="39"/>
      <c r="E92" s="90"/>
      <c r="F92" s="41">
        <f>F90+F91</f>
        <v>6629047</v>
      </c>
    </row>
    <row r="98">
      <c r="A98" s="52" t="s">
        <v>135</v>
      </c>
    </row>
    <row r="99">
      <c r="A99" s="53"/>
      <c r="B99" s="53"/>
      <c r="C99" s="53"/>
      <c r="D99" s="53"/>
      <c r="E99" s="53"/>
      <c r="F99" s="53"/>
    </row>
    <row r="100">
      <c r="A100" s="9" t="s">
        <v>4</v>
      </c>
      <c r="B100" s="9" t="s">
        <v>5</v>
      </c>
      <c r="C100" s="9" t="s">
        <v>6</v>
      </c>
      <c r="D100" s="9" t="s">
        <v>7</v>
      </c>
      <c r="E100" s="9" t="s">
        <v>8</v>
      </c>
      <c r="F100" s="9" t="s">
        <v>9</v>
      </c>
    </row>
    <row r="101">
      <c r="A101" s="13">
        <v>1.0</v>
      </c>
      <c r="B101" s="54" t="s">
        <v>136</v>
      </c>
      <c r="C101" s="55">
        <v>46143.0</v>
      </c>
      <c r="D101" s="22">
        <v>228.55</v>
      </c>
      <c r="E101" s="56"/>
      <c r="F101" s="28"/>
    </row>
    <row r="102">
      <c r="A102" s="30" t="s">
        <v>113</v>
      </c>
      <c r="B102" s="31"/>
      <c r="C102" s="32"/>
      <c r="D102" s="24">
        <f>round(D101*10%,2)</f>
        <v>22.86</v>
      </c>
      <c r="E102" s="57"/>
      <c r="F102" s="28"/>
    </row>
    <row r="103">
      <c r="A103" s="30" t="s">
        <v>106</v>
      </c>
      <c r="B103" s="31"/>
      <c r="C103" s="32"/>
      <c r="D103" s="24">
        <f>round(D101*10%,2)</f>
        <v>22.86</v>
      </c>
      <c r="E103" s="57"/>
      <c r="F103" s="28"/>
    </row>
    <row r="104">
      <c r="A104" s="33" t="s">
        <v>9</v>
      </c>
      <c r="B104" s="31"/>
      <c r="C104" s="32"/>
      <c r="D104" s="39">
        <f>D101-D102+D103</f>
        <v>228.55</v>
      </c>
      <c r="E104" s="90">
        <v>26395.0</v>
      </c>
      <c r="F104" s="41">
        <f>round(D104*E104,0)</f>
        <v>6032577</v>
      </c>
    </row>
    <row r="105">
      <c r="A105" s="33" t="s">
        <v>26</v>
      </c>
      <c r="B105" s="31"/>
      <c r="C105" s="32"/>
      <c r="D105" s="39"/>
      <c r="E105" s="90"/>
      <c r="F105" s="41">
        <f>round(F104*10%,0)</f>
        <v>603258</v>
      </c>
    </row>
    <row r="106">
      <c r="A106" s="33" t="s">
        <v>16</v>
      </c>
      <c r="B106" s="31"/>
      <c r="C106" s="32"/>
      <c r="D106" s="39"/>
      <c r="E106" s="90"/>
      <c r="F106" s="41">
        <f>F104+F105</f>
        <v>6635835</v>
      </c>
    </row>
    <row r="112">
      <c r="A112" s="52" t="s">
        <v>135</v>
      </c>
    </row>
    <row r="113">
      <c r="A113" s="53"/>
      <c r="B113" s="53"/>
      <c r="C113" s="53"/>
      <c r="D113" s="53"/>
      <c r="E113" s="53"/>
      <c r="F113" s="53"/>
    </row>
    <row r="114">
      <c r="A114" s="9" t="s">
        <v>4</v>
      </c>
      <c r="B114" s="9" t="s">
        <v>5</v>
      </c>
      <c r="C114" s="9" t="s">
        <v>6</v>
      </c>
      <c r="D114" s="9" t="s">
        <v>7</v>
      </c>
      <c r="E114" s="9" t="s">
        <v>8</v>
      </c>
      <c r="F114" s="9" t="s">
        <v>9</v>
      </c>
    </row>
    <row r="115">
      <c r="A115" s="13">
        <v>1.0</v>
      </c>
      <c r="B115" s="54" t="s">
        <v>136</v>
      </c>
      <c r="C115" s="55">
        <v>46174.0</v>
      </c>
      <c r="D115" s="22">
        <v>228.55</v>
      </c>
      <c r="E115" s="56"/>
      <c r="F115" s="28"/>
    </row>
    <row r="116">
      <c r="A116" s="30" t="s">
        <v>113</v>
      </c>
      <c r="B116" s="31"/>
      <c r="C116" s="32"/>
      <c r="D116" s="24">
        <f>round(D115*10%,2)</f>
        <v>22.86</v>
      </c>
      <c r="E116" s="57"/>
      <c r="F116" s="28"/>
    </row>
    <row r="117">
      <c r="A117" s="30" t="s">
        <v>106</v>
      </c>
      <c r="B117" s="31"/>
      <c r="C117" s="32"/>
      <c r="D117" s="24">
        <f>round(D115*10%,2)</f>
        <v>22.86</v>
      </c>
      <c r="E117" s="57"/>
      <c r="F117" s="28"/>
    </row>
    <row r="118">
      <c r="A118" s="33" t="s">
        <v>9</v>
      </c>
      <c r="B118" s="31"/>
      <c r="C118" s="32"/>
      <c r="D118" s="39">
        <f>D115-D116+D117</f>
        <v>228.55</v>
      </c>
      <c r="E118" s="90">
        <v>26466.0</v>
      </c>
      <c r="F118" s="41">
        <f>round(D118*E118,0)</f>
        <v>6048804</v>
      </c>
    </row>
    <row r="119">
      <c r="A119" s="33" t="s">
        <v>26</v>
      </c>
      <c r="B119" s="31"/>
      <c r="C119" s="32"/>
      <c r="D119" s="39"/>
      <c r="E119" s="90"/>
      <c r="F119" s="41">
        <f>round(F118*10%,0)</f>
        <v>604880</v>
      </c>
    </row>
    <row r="120">
      <c r="A120" s="33" t="s">
        <v>16</v>
      </c>
      <c r="B120" s="31"/>
      <c r="C120" s="32"/>
      <c r="D120" s="39"/>
      <c r="E120" s="90"/>
      <c r="F120" s="41">
        <f>F118+F119</f>
        <v>6653684</v>
      </c>
    </row>
    <row r="126">
      <c r="A126" s="52" t="s">
        <v>135</v>
      </c>
    </row>
    <row r="127">
      <c r="A127" s="53"/>
      <c r="B127" s="53"/>
      <c r="C127" s="53"/>
      <c r="D127" s="53"/>
      <c r="E127" s="53"/>
      <c r="F127" s="53"/>
    </row>
    <row r="128">
      <c r="A128" s="9" t="s">
        <v>4</v>
      </c>
      <c r="B128" s="9" t="s">
        <v>5</v>
      </c>
      <c r="C128" s="9" t="s">
        <v>6</v>
      </c>
      <c r="D128" s="9" t="s">
        <v>7</v>
      </c>
      <c r="E128" s="9" t="s">
        <v>8</v>
      </c>
      <c r="F128" s="9" t="s">
        <v>9</v>
      </c>
    </row>
    <row r="129">
      <c r="A129" s="13">
        <v>1.0</v>
      </c>
      <c r="B129" s="54" t="s">
        <v>136</v>
      </c>
      <c r="C129" s="55">
        <v>46204.0</v>
      </c>
      <c r="D129" s="22">
        <v>228.55</v>
      </c>
      <c r="E129" s="56"/>
      <c r="F129" s="28"/>
    </row>
    <row r="130">
      <c r="A130" s="30" t="s">
        <v>113</v>
      </c>
      <c r="B130" s="31"/>
      <c r="C130" s="32"/>
      <c r="D130" s="24">
        <f>round(D129*10%,2)</f>
        <v>22.86</v>
      </c>
      <c r="E130" s="57"/>
      <c r="F130" s="28"/>
    </row>
    <row r="131">
      <c r="A131" s="30" t="s">
        <v>106</v>
      </c>
      <c r="B131" s="31"/>
      <c r="C131" s="32"/>
      <c r="D131" s="24">
        <f>round(D129*10%,2)</f>
        <v>22.86</v>
      </c>
      <c r="E131" s="57"/>
      <c r="F131" s="28"/>
    </row>
    <row r="132">
      <c r="A132" s="33" t="s">
        <v>9</v>
      </c>
      <c r="B132" s="31"/>
      <c r="C132" s="32"/>
      <c r="D132" s="39">
        <f>D129-D130+D131</f>
        <v>228.55</v>
      </c>
      <c r="E132" s="90">
        <v>26475.0</v>
      </c>
      <c r="F132" s="41">
        <f>round(D132*E132,0)</f>
        <v>6050861</v>
      </c>
    </row>
    <row r="133">
      <c r="A133" s="33" t="s">
        <v>26</v>
      </c>
      <c r="B133" s="31"/>
      <c r="C133" s="32"/>
      <c r="D133" s="39"/>
      <c r="E133" s="90"/>
      <c r="F133" s="41">
        <f>round(F132*10%,0)</f>
        <v>605086</v>
      </c>
    </row>
    <row r="134">
      <c r="A134" s="33" t="s">
        <v>16</v>
      </c>
      <c r="B134" s="31"/>
      <c r="C134" s="32"/>
      <c r="D134" s="39"/>
      <c r="E134" s="90"/>
      <c r="F134" s="41">
        <f>F132+F133</f>
        <v>6655947</v>
      </c>
    </row>
  </sheetData>
  <mergeCells count="60">
    <mergeCell ref="A131:C131"/>
    <mergeCell ref="A132:C132"/>
    <mergeCell ref="A133:C133"/>
    <mergeCell ref="A134:C134"/>
    <mergeCell ref="A116:C116"/>
    <mergeCell ref="A117:C117"/>
    <mergeCell ref="A118:C118"/>
    <mergeCell ref="A119:C119"/>
    <mergeCell ref="A120:C120"/>
    <mergeCell ref="A126:F126"/>
    <mergeCell ref="A130:C130"/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29:F29"/>
    <mergeCell ref="A33:C33"/>
    <mergeCell ref="A34:C34"/>
    <mergeCell ref="A35:C35"/>
    <mergeCell ref="A36:C36"/>
    <mergeCell ref="A37:C37"/>
    <mergeCell ref="A43:F43"/>
    <mergeCell ref="A47:C47"/>
    <mergeCell ref="A48:C48"/>
    <mergeCell ref="A49:C49"/>
    <mergeCell ref="A50:C50"/>
    <mergeCell ref="A51:C51"/>
    <mergeCell ref="A56:F56"/>
    <mergeCell ref="A60:C60"/>
    <mergeCell ref="A61:C61"/>
    <mergeCell ref="A62:C62"/>
    <mergeCell ref="A63:C63"/>
    <mergeCell ref="A64:C64"/>
    <mergeCell ref="A70:F70"/>
    <mergeCell ref="A74:C74"/>
    <mergeCell ref="A75:C75"/>
    <mergeCell ref="A76:C76"/>
    <mergeCell ref="A77:C77"/>
    <mergeCell ref="A78:C78"/>
    <mergeCell ref="A84:F84"/>
    <mergeCell ref="A88:C88"/>
    <mergeCell ref="A89:C89"/>
    <mergeCell ref="A90:C90"/>
    <mergeCell ref="A91:C91"/>
    <mergeCell ref="A92:C92"/>
    <mergeCell ref="A98:F98"/>
    <mergeCell ref="A102:C102"/>
    <mergeCell ref="A103:C103"/>
    <mergeCell ref="A104:C104"/>
    <mergeCell ref="A105:C105"/>
    <mergeCell ref="A106:C106"/>
    <mergeCell ref="A112:F112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9.63"/>
    <col customWidth="1" min="3" max="3" width="11.63"/>
    <col customWidth="1" min="4" max="4" width="21.0"/>
    <col customWidth="1" min="5" max="5" width="11.75"/>
    <col customWidth="1" min="6" max="6" width="18.63"/>
  </cols>
  <sheetData>
    <row r="1">
      <c r="A1" s="52" t="s">
        <v>137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138</v>
      </c>
      <c r="C4" s="55">
        <v>45962.0</v>
      </c>
      <c r="D4" s="22">
        <v>59.44</v>
      </c>
      <c r="E4" s="56"/>
      <c r="F4" s="28"/>
    </row>
    <row r="5">
      <c r="A5" s="30" t="s">
        <v>113</v>
      </c>
      <c r="B5" s="31"/>
      <c r="C5" s="32"/>
      <c r="D5" s="24">
        <f>round(D4*10%,2)</f>
        <v>5.94</v>
      </c>
      <c r="E5" s="57"/>
      <c r="F5" s="28"/>
    </row>
    <row r="6">
      <c r="A6" s="30" t="s">
        <v>106</v>
      </c>
      <c r="B6" s="31"/>
      <c r="C6" s="32"/>
      <c r="D6" s="24">
        <f>round(D4*10%,2)</f>
        <v>5.94</v>
      </c>
      <c r="E6" s="57"/>
      <c r="F6" s="28"/>
    </row>
    <row r="7">
      <c r="A7" s="33" t="s">
        <v>9</v>
      </c>
      <c r="B7" s="31"/>
      <c r="C7" s="32"/>
      <c r="D7" s="39">
        <f>D4-D5+D6</f>
        <v>59.44</v>
      </c>
      <c r="E7" s="90">
        <v>26412.0</v>
      </c>
      <c r="F7" s="41">
        <f>round(D7*E7,0)</f>
        <v>1569929</v>
      </c>
    </row>
    <row r="8">
      <c r="A8" s="33" t="s">
        <v>26</v>
      </c>
      <c r="B8" s="31"/>
      <c r="C8" s="32"/>
      <c r="D8" s="39"/>
      <c r="E8" s="90"/>
      <c r="F8" s="41">
        <f>round(F7*10%,0)</f>
        <v>156993</v>
      </c>
    </row>
    <row r="9">
      <c r="A9" s="33" t="s">
        <v>16</v>
      </c>
      <c r="B9" s="31"/>
      <c r="C9" s="32"/>
      <c r="D9" s="39"/>
      <c r="E9" s="90"/>
      <c r="F9" s="41">
        <f>F7+F8</f>
        <v>1726922</v>
      </c>
    </row>
    <row r="15">
      <c r="A15" s="52" t="s">
        <v>137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138</v>
      </c>
      <c r="C18" s="55">
        <v>45992.0</v>
      </c>
      <c r="D18" s="22">
        <v>43.63</v>
      </c>
      <c r="E18" s="56"/>
      <c r="F18" s="28"/>
    </row>
    <row r="19">
      <c r="A19" s="30" t="s">
        <v>113</v>
      </c>
      <c r="B19" s="31"/>
      <c r="C19" s="32"/>
      <c r="D19" s="24">
        <f>round(D18*10%,2)</f>
        <v>4.36</v>
      </c>
      <c r="E19" s="57"/>
      <c r="F19" s="28"/>
    </row>
    <row r="20">
      <c r="A20" s="30" t="s">
        <v>106</v>
      </c>
      <c r="B20" s="31"/>
      <c r="C20" s="32"/>
      <c r="D20" s="24">
        <f>round(D18*10%,2)</f>
        <v>4.36</v>
      </c>
      <c r="E20" s="57"/>
      <c r="F20" s="28"/>
    </row>
    <row r="21">
      <c r="A21" s="33" t="s">
        <v>9</v>
      </c>
      <c r="B21" s="31"/>
      <c r="C21" s="32"/>
      <c r="D21" s="39">
        <f>D18-D19+D20</f>
        <v>43.63</v>
      </c>
      <c r="E21" s="90">
        <v>26377.0</v>
      </c>
      <c r="F21" s="41">
        <f>round(D21*E21,0)</f>
        <v>1150829</v>
      </c>
    </row>
    <row r="22">
      <c r="A22" s="33" t="s">
        <v>26</v>
      </c>
      <c r="B22" s="31"/>
      <c r="C22" s="32"/>
      <c r="D22" s="39"/>
      <c r="E22" s="90"/>
      <c r="F22" s="41">
        <f>round(F21*10%,0)</f>
        <v>115083</v>
      </c>
    </row>
    <row r="23">
      <c r="A23" s="33" t="s">
        <v>16</v>
      </c>
      <c r="B23" s="31"/>
      <c r="C23" s="32"/>
      <c r="D23" s="39"/>
      <c r="E23" s="90"/>
      <c r="F23" s="41">
        <f>F21+F22</f>
        <v>1265912</v>
      </c>
    </row>
    <row r="29">
      <c r="A29" s="52" t="s">
        <v>137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138</v>
      </c>
      <c r="C32" s="55">
        <v>46023.0</v>
      </c>
      <c r="D32" s="22">
        <v>43.55</v>
      </c>
      <c r="E32" s="56"/>
      <c r="F32" s="28"/>
    </row>
    <row r="33">
      <c r="A33" s="30" t="s">
        <v>113</v>
      </c>
      <c r="B33" s="31"/>
      <c r="C33" s="32"/>
      <c r="D33" s="24">
        <f>round(D32*10%,2)</f>
        <v>4.36</v>
      </c>
      <c r="E33" s="57"/>
      <c r="F33" s="28"/>
    </row>
    <row r="34">
      <c r="A34" s="30" t="s">
        <v>106</v>
      </c>
      <c r="B34" s="31"/>
      <c r="C34" s="32"/>
      <c r="D34" s="24">
        <f>round(D32*10%,2)</f>
        <v>4.36</v>
      </c>
      <c r="E34" s="57"/>
      <c r="F34" s="28"/>
    </row>
    <row r="35">
      <c r="A35" s="33" t="s">
        <v>9</v>
      </c>
      <c r="B35" s="31"/>
      <c r="C35" s="32"/>
      <c r="D35" s="39">
        <f>D32-D33+D34</f>
        <v>43.55</v>
      </c>
      <c r="E35" s="90">
        <v>26145.0</v>
      </c>
      <c r="F35" s="41">
        <f>round(D35*E35,0)</f>
        <v>1138615</v>
      </c>
    </row>
    <row r="36">
      <c r="A36" s="33" t="s">
        <v>26</v>
      </c>
      <c r="B36" s="31"/>
      <c r="C36" s="32"/>
      <c r="D36" s="39"/>
      <c r="E36" s="90"/>
      <c r="F36" s="41">
        <f>round(F35*10%,0)</f>
        <v>113862</v>
      </c>
    </row>
    <row r="37">
      <c r="A37" s="33" t="s">
        <v>16</v>
      </c>
      <c r="B37" s="31"/>
      <c r="C37" s="32"/>
      <c r="D37" s="39"/>
      <c r="E37" s="90"/>
      <c r="F37" s="41">
        <f>F35+F36</f>
        <v>1252477</v>
      </c>
    </row>
    <row r="43">
      <c r="A43" s="52" t="s">
        <v>137</v>
      </c>
    </row>
    <row r="44">
      <c r="A44" s="53"/>
      <c r="B44" s="53"/>
      <c r="C44" s="53"/>
      <c r="D44" s="53"/>
      <c r="E44" s="53"/>
      <c r="F44" s="53"/>
    </row>
    <row r="45">
      <c r="A45" s="9" t="s">
        <v>4</v>
      </c>
      <c r="B45" s="9" t="s">
        <v>5</v>
      </c>
      <c r="C45" s="9" t="s">
        <v>6</v>
      </c>
      <c r="D45" s="9" t="s">
        <v>7</v>
      </c>
      <c r="E45" s="9" t="s">
        <v>8</v>
      </c>
      <c r="F45" s="9" t="s">
        <v>9</v>
      </c>
    </row>
    <row r="46">
      <c r="A46" s="13">
        <v>1.0</v>
      </c>
      <c r="B46" s="54" t="s">
        <v>138</v>
      </c>
      <c r="C46" s="55">
        <v>46054.0</v>
      </c>
      <c r="D46" s="22">
        <v>48.76</v>
      </c>
      <c r="E46" s="56"/>
      <c r="F46" s="28"/>
    </row>
    <row r="47">
      <c r="A47" s="30" t="s">
        <v>113</v>
      </c>
      <c r="B47" s="31"/>
      <c r="C47" s="32"/>
      <c r="D47" s="24">
        <f>round(D46*10%,2)</f>
        <v>4.88</v>
      </c>
      <c r="E47" s="57"/>
      <c r="F47" s="28"/>
    </row>
    <row r="48">
      <c r="A48" s="30" t="s">
        <v>106</v>
      </c>
      <c r="B48" s="31"/>
      <c r="C48" s="32"/>
      <c r="D48" s="24">
        <f>round(D46*10%,2)</f>
        <v>4.88</v>
      </c>
      <c r="E48" s="57"/>
      <c r="F48" s="28"/>
    </row>
    <row r="49">
      <c r="A49" s="33" t="s">
        <v>9</v>
      </c>
      <c r="B49" s="31"/>
      <c r="C49" s="32"/>
      <c r="D49" s="39">
        <f>D46-D47+D48</f>
        <v>48.76</v>
      </c>
      <c r="E49" s="90">
        <v>26240.0</v>
      </c>
      <c r="F49" s="41">
        <f>round(D49*E49,0)</f>
        <v>1279462</v>
      </c>
    </row>
    <row r="50">
      <c r="A50" s="33" t="s">
        <v>26</v>
      </c>
      <c r="B50" s="31"/>
      <c r="C50" s="32"/>
      <c r="D50" s="39"/>
      <c r="E50" s="90"/>
      <c r="F50" s="41">
        <f>round(F49*10%,0)</f>
        <v>127946</v>
      </c>
    </row>
    <row r="51">
      <c r="A51" s="33" t="s">
        <v>16</v>
      </c>
      <c r="B51" s="31"/>
      <c r="C51" s="32"/>
      <c r="D51" s="39"/>
      <c r="E51" s="90"/>
      <c r="F51" s="41">
        <f>F49+F50</f>
        <v>1407408</v>
      </c>
    </row>
    <row r="57">
      <c r="A57" s="52" t="s">
        <v>137</v>
      </c>
    </row>
    <row r="58">
      <c r="A58" s="53"/>
      <c r="B58" s="53"/>
      <c r="C58" s="53"/>
      <c r="D58" s="53"/>
      <c r="E58" s="53"/>
      <c r="F58" s="53"/>
    </row>
    <row r="59">
      <c r="A59" s="9" t="s">
        <v>4</v>
      </c>
      <c r="B59" s="9" t="s">
        <v>5</v>
      </c>
      <c r="C59" s="9" t="s">
        <v>6</v>
      </c>
      <c r="D59" s="9" t="s">
        <v>7</v>
      </c>
      <c r="E59" s="9" t="s">
        <v>8</v>
      </c>
      <c r="F59" s="9" t="s">
        <v>9</v>
      </c>
    </row>
    <row r="60">
      <c r="A60" s="13">
        <v>1.0</v>
      </c>
      <c r="B60" s="54" t="s">
        <v>138</v>
      </c>
      <c r="C60" s="55">
        <v>46082.0</v>
      </c>
      <c r="D60" s="22">
        <v>48.5</v>
      </c>
      <c r="E60" s="56"/>
      <c r="F60" s="28"/>
    </row>
    <row r="61">
      <c r="A61" s="30" t="s">
        <v>113</v>
      </c>
      <c r="B61" s="31"/>
      <c r="C61" s="32"/>
      <c r="D61" s="24">
        <f>round(D60*10%,2)</f>
        <v>4.85</v>
      </c>
      <c r="E61" s="57"/>
      <c r="F61" s="28"/>
    </row>
    <row r="62">
      <c r="A62" s="30" t="s">
        <v>106</v>
      </c>
      <c r="B62" s="31"/>
      <c r="C62" s="32"/>
      <c r="D62" s="24">
        <f>round(D60*10%,2)</f>
        <v>4.85</v>
      </c>
      <c r="E62" s="57"/>
      <c r="F62" s="28"/>
    </row>
    <row r="63">
      <c r="A63" s="33" t="s">
        <v>9</v>
      </c>
      <c r="B63" s="31"/>
      <c r="C63" s="32"/>
      <c r="D63" s="39">
        <f>D60-D61+D62</f>
        <v>48.5</v>
      </c>
      <c r="E63" s="90">
        <v>26357.0</v>
      </c>
      <c r="F63" s="41">
        <f>round(D63*E63,0)</f>
        <v>1278315</v>
      </c>
    </row>
    <row r="64">
      <c r="A64" s="33" t="s">
        <v>26</v>
      </c>
      <c r="B64" s="31"/>
      <c r="C64" s="32"/>
      <c r="D64" s="39"/>
      <c r="E64" s="90"/>
      <c r="F64" s="41">
        <f>round(F63*10%,0)</f>
        <v>127832</v>
      </c>
    </row>
    <row r="65">
      <c r="A65" s="33" t="s">
        <v>16</v>
      </c>
      <c r="B65" s="31"/>
      <c r="C65" s="32"/>
      <c r="D65" s="39"/>
      <c r="E65" s="90"/>
      <c r="F65" s="41">
        <f>F63+F64</f>
        <v>1406147</v>
      </c>
    </row>
    <row r="71">
      <c r="A71" s="52" t="s">
        <v>137</v>
      </c>
    </row>
    <row r="72">
      <c r="A72" s="53"/>
      <c r="B72" s="53"/>
      <c r="C72" s="53"/>
      <c r="D72" s="53"/>
      <c r="E72" s="53"/>
      <c r="F72" s="53"/>
    </row>
    <row r="73">
      <c r="A73" s="9" t="s">
        <v>4</v>
      </c>
      <c r="B73" s="9" t="s">
        <v>5</v>
      </c>
      <c r="C73" s="9" t="s">
        <v>6</v>
      </c>
      <c r="D73" s="9" t="s">
        <v>7</v>
      </c>
      <c r="E73" s="9" t="s">
        <v>8</v>
      </c>
      <c r="F73" s="9" t="s">
        <v>9</v>
      </c>
    </row>
    <row r="74">
      <c r="A74" s="13">
        <v>1.0</v>
      </c>
      <c r="B74" s="54" t="s">
        <v>138</v>
      </c>
      <c r="C74" s="55">
        <v>46113.0</v>
      </c>
      <c r="D74" s="22">
        <v>43.34</v>
      </c>
      <c r="E74" s="56"/>
      <c r="F74" s="28"/>
    </row>
    <row r="75">
      <c r="A75" s="30" t="s">
        <v>113</v>
      </c>
      <c r="B75" s="31"/>
      <c r="C75" s="32"/>
      <c r="D75" s="24">
        <f>round(D74*10%,2)</f>
        <v>4.33</v>
      </c>
      <c r="E75" s="57"/>
      <c r="F75" s="28"/>
    </row>
    <row r="76">
      <c r="A76" s="30" t="s">
        <v>106</v>
      </c>
      <c r="B76" s="31"/>
      <c r="C76" s="32"/>
      <c r="D76" s="24">
        <f>round(D74*10%,2)</f>
        <v>4.33</v>
      </c>
      <c r="E76" s="57"/>
      <c r="F76" s="28"/>
    </row>
    <row r="77">
      <c r="A77" s="33" t="s">
        <v>9</v>
      </c>
      <c r="B77" s="31"/>
      <c r="C77" s="32"/>
      <c r="D77" s="39">
        <f>D74-D75+D76</f>
        <v>43.34</v>
      </c>
      <c r="E77" s="90">
        <v>26368.0</v>
      </c>
      <c r="F77" s="41">
        <f>round(D77*E77,0)</f>
        <v>1142789</v>
      </c>
    </row>
    <row r="78">
      <c r="A78" s="33" t="s">
        <v>26</v>
      </c>
      <c r="B78" s="31"/>
      <c r="C78" s="32"/>
      <c r="D78" s="39"/>
      <c r="E78" s="90"/>
      <c r="F78" s="41">
        <f>round(F77*10%,0)</f>
        <v>114279</v>
      </c>
    </row>
    <row r="79">
      <c r="A79" s="33" t="s">
        <v>16</v>
      </c>
      <c r="B79" s="31"/>
      <c r="C79" s="32"/>
      <c r="D79" s="39"/>
      <c r="E79" s="90"/>
      <c r="F79" s="41">
        <f>F77+F78</f>
        <v>1257068</v>
      </c>
    </row>
    <row r="85">
      <c r="A85" s="52" t="s">
        <v>137</v>
      </c>
    </row>
    <row r="86">
      <c r="A86" s="53"/>
      <c r="B86" s="53"/>
      <c r="C86" s="53"/>
      <c r="D86" s="53"/>
      <c r="E86" s="53"/>
      <c r="F86" s="53"/>
    </row>
    <row r="87">
      <c r="A87" s="9" t="s">
        <v>4</v>
      </c>
      <c r="B87" s="9" t="s">
        <v>5</v>
      </c>
      <c r="C87" s="9" t="s">
        <v>6</v>
      </c>
      <c r="D87" s="9" t="s">
        <v>7</v>
      </c>
      <c r="E87" s="9" t="s">
        <v>8</v>
      </c>
      <c r="F87" s="9" t="s">
        <v>9</v>
      </c>
    </row>
    <row r="88">
      <c r="A88" s="13">
        <v>1.0</v>
      </c>
      <c r="B88" s="54" t="s">
        <v>138</v>
      </c>
      <c r="C88" s="55">
        <v>46143.0</v>
      </c>
      <c r="D88" s="22">
        <v>29.58</v>
      </c>
      <c r="E88" s="56"/>
      <c r="F88" s="28"/>
    </row>
    <row r="89">
      <c r="A89" s="30" t="s">
        <v>113</v>
      </c>
      <c r="B89" s="31"/>
      <c r="C89" s="32"/>
      <c r="D89" s="24">
        <f>round(D88*10%,2)</f>
        <v>2.96</v>
      </c>
      <c r="E89" s="57"/>
      <c r="F89" s="28"/>
    </row>
    <row r="90">
      <c r="A90" s="30" t="s">
        <v>106</v>
      </c>
      <c r="B90" s="31"/>
      <c r="C90" s="32"/>
      <c r="D90" s="24">
        <f>round(D88*10%,2)</f>
        <v>2.96</v>
      </c>
      <c r="E90" s="57"/>
      <c r="F90" s="28"/>
    </row>
    <row r="91">
      <c r="A91" s="33" t="s">
        <v>9</v>
      </c>
      <c r="B91" s="31"/>
      <c r="C91" s="32"/>
      <c r="D91" s="39">
        <f>D88-D89+D90</f>
        <v>29.58</v>
      </c>
      <c r="E91" s="90">
        <v>26395.0</v>
      </c>
      <c r="F91" s="41">
        <f>round(D91*E91,0)</f>
        <v>780764</v>
      </c>
    </row>
    <row r="92">
      <c r="A92" s="33" t="s">
        <v>26</v>
      </c>
      <c r="B92" s="31"/>
      <c r="C92" s="32"/>
      <c r="D92" s="39"/>
      <c r="E92" s="90"/>
      <c r="F92" s="41">
        <f>round(F91*10%,0)</f>
        <v>78076</v>
      </c>
    </row>
    <row r="93">
      <c r="A93" s="33" t="s">
        <v>16</v>
      </c>
      <c r="B93" s="31"/>
      <c r="C93" s="32"/>
      <c r="D93" s="39"/>
      <c r="E93" s="90"/>
      <c r="F93" s="41">
        <f>F91+F92</f>
        <v>858840</v>
      </c>
    </row>
    <row r="99">
      <c r="A99" s="52" t="s">
        <v>137</v>
      </c>
    </row>
    <row r="100">
      <c r="A100" s="53"/>
      <c r="B100" s="53"/>
      <c r="C100" s="53"/>
      <c r="D100" s="53"/>
      <c r="E100" s="53"/>
      <c r="F100" s="53"/>
    </row>
    <row r="101">
      <c r="A101" s="9" t="s">
        <v>4</v>
      </c>
      <c r="B101" s="9" t="s">
        <v>5</v>
      </c>
      <c r="C101" s="9" t="s">
        <v>6</v>
      </c>
      <c r="D101" s="9" t="s">
        <v>7</v>
      </c>
      <c r="E101" s="9" t="s">
        <v>8</v>
      </c>
      <c r="F101" s="9" t="s">
        <v>9</v>
      </c>
    </row>
    <row r="102">
      <c r="A102" s="13">
        <v>1.0</v>
      </c>
      <c r="B102" s="54" t="s">
        <v>138</v>
      </c>
      <c r="C102" s="55">
        <v>46174.0</v>
      </c>
      <c r="D102" s="22">
        <v>25.73</v>
      </c>
      <c r="E102" s="56"/>
      <c r="F102" s="28"/>
    </row>
    <row r="103">
      <c r="A103" s="30" t="s">
        <v>113</v>
      </c>
      <c r="B103" s="31"/>
      <c r="C103" s="32"/>
      <c r="D103" s="24">
        <f>round(D102*10%,2)</f>
        <v>2.57</v>
      </c>
      <c r="E103" s="57"/>
      <c r="F103" s="28"/>
    </row>
    <row r="104">
      <c r="A104" s="30" t="s">
        <v>106</v>
      </c>
      <c r="B104" s="31"/>
      <c r="C104" s="32"/>
      <c r="D104" s="24">
        <f>round(D102*10%,2)</f>
        <v>2.57</v>
      </c>
      <c r="E104" s="57"/>
      <c r="F104" s="28"/>
    </row>
    <row r="105">
      <c r="A105" s="33" t="s">
        <v>9</v>
      </c>
      <c r="B105" s="31"/>
      <c r="C105" s="32"/>
      <c r="D105" s="39">
        <f>D102-D103+D104</f>
        <v>25.73</v>
      </c>
      <c r="E105" s="90">
        <v>26466.0</v>
      </c>
      <c r="F105" s="41">
        <f>round(D105*E105,0)</f>
        <v>680970</v>
      </c>
    </row>
    <row r="106">
      <c r="A106" s="33" t="s">
        <v>26</v>
      </c>
      <c r="B106" s="31"/>
      <c r="C106" s="32"/>
      <c r="D106" s="39"/>
      <c r="E106" s="90"/>
      <c r="F106" s="41">
        <f>round(F105*10%,0)</f>
        <v>68097</v>
      </c>
    </row>
    <row r="107">
      <c r="A107" s="33" t="s">
        <v>16</v>
      </c>
      <c r="B107" s="31"/>
      <c r="C107" s="32"/>
      <c r="D107" s="39"/>
      <c r="E107" s="90"/>
      <c r="F107" s="41">
        <f>F105+F106</f>
        <v>749067</v>
      </c>
    </row>
    <row r="113">
      <c r="A113" s="52" t="s">
        <v>137</v>
      </c>
    </row>
    <row r="114">
      <c r="A114" s="53"/>
      <c r="B114" s="53"/>
      <c r="C114" s="53"/>
      <c r="D114" s="53"/>
      <c r="E114" s="53"/>
      <c r="F114" s="53"/>
    </row>
    <row r="115">
      <c r="A115" s="9" t="s">
        <v>4</v>
      </c>
      <c r="B115" s="9" t="s">
        <v>5</v>
      </c>
      <c r="C115" s="9" t="s">
        <v>6</v>
      </c>
      <c r="D115" s="9" t="s">
        <v>7</v>
      </c>
      <c r="E115" s="9" t="s">
        <v>8</v>
      </c>
      <c r="F115" s="9" t="s">
        <v>9</v>
      </c>
    </row>
    <row r="116">
      <c r="A116" s="13">
        <v>1.0</v>
      </c>
      <c r="B116" s="54" t="s">
        <v>138</v>
      </c>
      <c r="C116" s="55">
        <v>46204.0</v>
      </c>
      <c r="D116" s="22">
        <v>26.25</v>
      </c>
      <c r="E116" s="56"/>
      <c r="F116" s="28"/>
    </row>
    <row r="117">
      <c r="A117" s="30" t="s">
        <v>113</v>
      </c>
      <c r="B117" s="31"/>
      <c r="C117" s="32"/>
      <c r="D117" s="24">
        <f>round(D116*10%,2)</f>
        <v>2.63</v>
      </c>
      <c r="E117" s="57"/>
      <c r="F117" s="28"/>
    </row>
    <row r="118">
      <c r="A118" s="30" t="s">
        <v>106</v>
      </c>
      <c r="B118" s="31"/>
      <c r="C118" s="32"/>
      <c r="D118" s="24">
        <f>round(D116*10%,2)</f>
        <v>2.63</v>
      </c>
      <c r="E118" s="57"/>
      <c r="F118" s="28"/>
    </row>
    <row r="119">
      <c r="A119" s="33" t="s">
        <v>9</v>
      </c>
      <c r="B119" s="31"/>
      <c r="C119" s="32"/>
      <c r="D119" s="39">
        <f>D116-D117+D118</f>
        <v>26.25</v>
      </c>
      <c r="E119" s="90">
        <v>26475.0</v>
      </c>
      <c r="F119" s="41">
        <f>round(D119*E119,0)</f>
        <v>694969</v>
      </c>
    </row>
    <row r="120">
      <c r="A120" s="33" t="s">
        <v>26</v>
      </c>
      <c r="B120" s="31"/>
      <c r="C120" s="32"/>
      <c r="D120" s="39"/>
      <c r="E120" s="90"/>
      <c r="F120" s="41">
        <f>round(F119*10%,0)</f>
        <v>69497</v>
      </c>
    </row>
    <row r="121">
      <c r="A121" s="33" t="s">
        <v>16</v>
      </c>
      <c r="B121" s="31"/>
      <c r="C121" s="32"/>
      <c r="D121" s="39"/>
      <c r="E121" s="90"/>
      <c r="F121" s="41">
        <f>F119+F120</f>
        <v>764466</v>
      </c>
    </row>
  </sheetData>
  <mergeCells count="54"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29:F29"/>
    <mergeCell ref="A33:C33"/>
    <mergeCell ref="A34:C34"/>
    <mergeCell ref="A35:C35"/>
    <mergeCell ref="A36:C36"/>
    <mergeCell ref="A37:C37"/>
    <mergeCell ref="A43:F43"/>
    <mergeCell ref="A47:C47"/>
    <mergeCell ref="A48:C48"/>
    <mergeCell ref="A49:C49"/>
    <mergeCell ref="A50:C50"/>
    <mergeCell ref="A51:C51"/>
    <mergeCell ref="A57:F57"/>
    <mergeCell ref="A61:C61"/>
    <mergeCell ref="A62:C62"/>
    <mergeCell ref="A63:C63"/>
    <mergeCell ref="A64:C64"/>
    <mergeCell ref="A65:C65"/>
    <mergeCell ref="A71:F71"/>
    <mergeCell ref="A75:C75"/>
    <mergeCell ref="A76:C76"/>
    <mergeCell ref="A77:C77"/>
    <mergeCell ref="A78:C78"/>
    <mergeCell ref="A79:C79"/>
    <mergeCell ref="A85:F85"/>
    <mergeCell ref="A89:C89"/>
    <mergeCell ref="A90:C90"/>
    <mergeCell ref="A91:C91"/>
    <mergeCell ref="A92:C92"/>
    <mergeCell ref="A93:C93"/>
    <mergeCell ref="A117:C117"/>
    <mergeCell ref="A118:C118"/>
    <mergeCell ref="A119:C119"/>
    <mergeCell ref="A120:C120"/>
    <mergeCell ref="A121:C121"/>
    <mergeCell ref="A99:F99"/>
    <mergeCell ref="A103:C103"/>
    <mergeCell ref="A104:C104"/>
    <mergeCell ref="A105:C105"/>
    <mergeCell ref="A106:C106"/>
    <mergeCell ref="A107:C107"/>
    <mergeCell ref="A113:F113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9.63"/>
    <col customWidth="1" min="3" max="3" width="11.63"/>
    <col customWidth="1" min="4" max="4" width="21.0"/>
    <col customWidth="1" min="5" max="5" width="11.75"/>
    <col customWidth="1" min="6" max="6" width="18.63"/>
  </cols>
  <sheetData>
    <row r="1">
      <c r="A1" s="52" t="s">
        <v>139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140</v>
      </c>
      <c r="C4" s="55">
        <v>45962.0</v>
      </c>
      <c r="D4" s="22">
        <v>72.95</v>
      </c>
      <c r="E4" s="56"/>
      <c r="F4" s="28"/>
    </row>
    <row r="5">
      <c r="A5" s="30" t="s">
        <v>113</v>
      </c>
      <c r="B5" s="31"/>
      <c r="C5" s="32"/>
      <c r="D5" s="24">
        <f>round(D4*10%,2)</f>
        <v>7.3</v>
      </c>
      <c r="E5" s="57"/>
      <c r="F5" s="28"/>
    </row>
    <row r="6">
      <c r="A6" s="30" t="s">
        <v>106</v>
      </c>
      <c r="B6" s="31"/>
      <c r="C6" s="32"/>
      <c r="D6" s="24">
        <f>round(D4*10%,2)</f>
        <v>7.3</v>
      </c>
      <c r="E6" s="57"/>
      <c r="F6" s="28"/>
    </row>
    <row r="7">
      <c r="A7" s="33" t="s">
        <v>9</v>
      </c>
      <c r="B7" s="31"/>
      <c r="C7" s="32"/>
      <c r="D7" s="39">
        <f>D4-D5+D6</f>
        <v>72.95</v>
      </c>
      <c r="E7" s="90">
        <v>26412.0</v>
      </c>
      <c r="F7" s="41">
        <f>round(D7*E7,0)</f>
        <v>1926755</v>
      </c>
    </row>
    <row r="8">
      <c r="A8" s="33" t="s">
        <v>26</v>
      </c>
      <c r="B8" s="31"/>
      <c r="C8" s="32"/>
      <c r="D8" s="39"/>
      <c r="E8" s="90"/>
      <c r="F8" s="41">
        <f>round(F7*10%,0)</f>
        <v>192676</v>
      </c>
    </row>
    <row r="9">
      <c r="A9" s="33" t="s">
        <v>16</v>
      </c>
      <c r="B9" s="31"/>
      <c r="C9" s="32"/>
      <c r="D9" s="39"/>
      <c r="E9" s="90"/>
      <c r="F9" s="41">
        <f>F7+F8</f>
        <v>2119431</v>
      </c>
    </row>
    <row r="15">
      <c r="A15" s="52" t="s">
        <v>139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140</v>
      </c>
      <c r="C18" s="55">
        <v>45992.0</v>
      </c>
      <c r="D18" s="22">
        <v>72.0</v>
      </c>
      <c r="E18" s="56"/>
      <c r="F18" s="28"/>
    </row>
    <row r="19">
      <c r="A19" s="30" t="s">
        <v>113</v>
      </c>
      <c r="B19" s="31"/>
      <c r="C19" s="32"/>
      <c r="D19" s="24">
        <f>round(D18*10%,2)</f>
        <v>7.2</v>
      </c>
      <c r="E19" s="57"/>
      <c r="F19" s="28"/>
    </row>
    <row r="20">
      <c r="A20" s="30" t="s">
        <v>106</v>
      </c>
      <c r="B20" s="31"/>
      <c r="C20" s="32"/>
      <c r="D20" s="24">
        <f>round(D18*10%,2)</f>
        <v>7.2</v>
      </c>
      <c r="E20" s="57"/>
      <c r="F20" s="28"/>
    </row>
    <row r="21">
      <c r="A21" s="33" t="s">
        <v>9</v>
      </c>
      <c r="B21" s="31"/>
      <c r="C21" s="32"/>
      <c r="D21" s="39">
        <f>D18-D19+D20</f>
        <v>72</v>
      </c>
      <c r="E21" s="90">
        <v>26377.0</v>
      </c>
      <c r="F21" s="41">
        <f>round(D21*E21,0)</f>
        <v>1899144</v>
      </c>
    </row>
    <row r="22">
      <c r="A22" s="33" t="s">
        <v>26</v>
      </c>
      <c r="B22" s="31"/>
      <c r="C22" s="32"/>
      <c r="D22" s="39"/>
      <c r="E22" s="90"/>
      <c r="F22" s="41">
        <f>round(F21*10%,0)</f>
        <v>189914</v>
      </c>
    </row>
    <row r="23">
      <c r="A23" s="33" t="s">
        <v>16</v>
      </c>
      <c r="B23" s="31"/>
      <c r="C23" s="32"/>
      <c r="D23" s="39"/>
      <c r="E23" s="90"/>
      <c r="F23" s="41">
        <f>F21+F22</f>
        <v>2089058</v>
      </c>
    </row>
    <row r="29">
      <c r="A29" s="52" t="s">
        <v>139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140</v>
      </c>
      <c r="C32" s="55">
        <v>46023.0</v>
      </c>
      <c r="D32" s="22">
        <v>72.0</v>
      </c>
      <c r="E32" s="56"/>
      <c r="F32" s="28"/>
    </row>
    <row r="33">
      <c r="A33" s="30" t="s">
        <v>113</v>
      </c>
      <c r="B33" s="31"/>
      <c r="C33" s="32"/>
      <c r="D33" s="24">
        <f>round(D32*10%,2)</f>
        <v>7.2</v>
      </c>
      <c r="E33" s="57"/>
      <c r="F33" s="28"/>
    </row>
    <row r="34">
      <c r="A34" s="30" t="s">
        <v>106</v>
      </c>
      <c r="B34" s="31"/>
      <c r="C34" s="32"/>
      <c r="D34" s="24">
        <f>round(D32*10%,2)</f>
        <v>7.2</v>
      </c>
      <c r="E34" s="57"/>
      <c r="F34" s="28"/>
    </row>
    <row r="35">
      <c r="A35" s="33" t="s">
        <v>9</v>
      </c>
      <c r="B35" s="31"/>
      <c r="C35" s="32"/>
      <c r="D35" s="39">
        <f>D32-D33+D34</f>
        <v>72</v>
      </c>
      <c r="E35" s="90">
        <v>26145.0</v>
      </c>
      <c r="F35" s="41">
        <f>round(D35*E35,0)</f>
        <v>1882440</v>
      </c>
    </row>
    <row r="36">
      <c r="A36" s="33" t="s">
        <v>26</v>
      </c>
      <c r="B36" s="31"/>
      <c r="C36" s="32"/>
      <c r="D36" s="39"/>
      <c r="E36" s="90"/>
      <c r="F36" s="41">
        <f>round(F35*10%,0)</f>
        <v>188244</v>
      </c>
    </row>
    <row r="37">
      <c r="A37" s="33" t="s">
        <v>16</v>
      </c>
      <c r="B37" s="31"/>
      <c r="C37" s="32"/>
      <c r="D37" s="39"/>
      <c r="E37" s="90"/>
      <c r="F37" s="41">
        <f>F35+F36</f>
        <v>2070684</v>
      </c>
    </row>
    <row r="43">
      <c r="A43" s="52" t="s">
        <v>139</v>
      </c>
    </row>
    <row r="44">
      <c r="A44" s="53"/>
      <c r="B44" s="53"/>
      <c r="C44" s="53"/>
      <c r="D44" s="53"/>
      <c r="E44" s="53"/>
      <c r="F44" s="53"/>
    </row>
    <row r="45">
      <c r="A45" s="9" t="s">
        <v>4</v>
      </c>
      <c r="B45" s="9" t="s">
        <v>5</v>
      </c>
      <c r="C45" s="9" t="s">
        <v>6</v>
      </c>
      <c r="D45" s="9" t="s">
        <v>7</v>
      </c>
      <c r="E45" s="9" t="s">
        <v>8</v>
      </c>
      <c r="F45" s="9" t="s">
        <v>9</v>
      </c>
    </row>
    <row r="46">
      <c r="A46" s="13">
        <v>1.0</v>
      </c>
      <c r="B46" s="54" t="s">
        <v>140</v>
      </c>
      <c r="C46" s="55">
        <v>46054.0</v>
      </c>
      <c r="D46" s="22">
        <v>72.0</v>
      </c>
      <c r="E46" s="56"/>
      <c r="F46" s="28"/>
    </row>
    <row r="47">
      <c r="A47" s="30" t="s">
        <v>113</v>
      </c>
      <c r="B47" s="31"/>
      <c r="C47" s="32"/>
      <c r="D47" s="24">
        <f>round(D46*10%,2)</f>
        <v>7.2</v>
      </c>
      <c r="E47" s="57"/>
      <c r="F47" s="28"/>
    </row>
    <row r="48">
      <c r="A48" s="30" t="s">
        <v>106</v>
      </c>
      <c r="B48" s="31"/>
      <c r="C48" s="32"/>
      <c r="D48" s="24">
        <f>round(D46*10%,2)</f>
        <v>7.2</v>
      </c>
      <c r="E48" s="57"/>
      <c r="F48" s="28"/>
    </row>
    <row r="49">
      <c r="A49" s="33" t="s">
        <v>9</v>
      </c>
      <c r="B49" s="31"/>
      <c r="C49" s="32"/>
      <c r="D49" s="39">
        <f>D46-D47+D48</f>
        <v>72</v>
      </c>
      <c r="E49" s="90">
        <v>26240.0</v>
      </c>
      <c r="F49" s="41">
        <f>round(D49*E49,0)</f>
        <v>1889280</v>
      </c>
    </row>
    <row r="50">
      <c r="A50" s="33" t="s">
        <v>26</v>
      </c>
      <c r="B50" s="31"/>
      <c r="C50" s="32"/>
      <c r="D50" s="39"/>
      <c r="E50" s="90"/>
      <c r="F50" s="41">
        <f>round(F49*10%,0)</f>
        <v>188928</v>
      </c>
    </row>
    <row r="51">
      <c r="A51" s="33" t="s">
        <v>16</v>
      </c>
      <c r="B51" s="31"/>
      <c r="C51" s="32"/>
      <c r="D51" s="39"/>
      <c r="E51" s="90"/>
      <c r="F51" s="41">
        <f>F49+F50</f>
        <v>2078208</v>
      </c>
    </row>
    <row r="57">
      <c r="A57" s="52" t="s">
        <v>139</v>
      </c>
    </row>
    <row r="58">
      <c r="A58" s="53"/>
      <c r="B58" s="53"/>
      <c r="C58" s="53"/>
      <c r="D58" s="53"/>
      <c r="E58" s="53"/>
      <c r="F58" s="53"/>
    </row>
    <row r="59">
      <c r="A59" s="9" t="s">
        <v>4</v>
      </c>
      <c r="B59" s="9" t="s">
        <v>5</v>
      </c>
      <c r="C59" s="9" t="s">
        <v>6</v>
      </c>
      <c r="D59" s="9" t="s">
        <v>7</v>
      </c>
      <c r="E59" s="9" t="s">
        <v>8</v>
      </c>
      <c r="F59" s="9" t="s">
        <v>9</v>
      </c>
    </row>
    <row r="60">
      <c r="A60" s="13">
        <v>1.0</v>
      </c>
      <c r="B60" s="54" t="s">
        <v>140</v>
      </c>
      <c r="C60" s="55">
        <v>46082.0</v>
      </c>
      <c r="D60" s="22">
        <v>72.0</v>
      </c>
      <c r="E60" s="56"/>
      <c r="F60" s="28"/>
    </row>
    <row r="61">
      <c r="A61" s="30" t="s">
        <v>113</v>
      </c>
      <c r="B61" s="31"/>
      <c r="C61" s="32"/>
      <c r="D61" s="24">
        <f>round(D60*10%,2)</f>
        <v>7.2</v>
      </c>
      <c r="E61" s="57"/>
      <c r="F61" s="28"/>
    </row>
    <row r="62">
      <c r="A62" s="30" t="s">
        <v>106</v>
      </c>
      <c r="B62" s="31"/>
      <c r="C62" s="32"/>
      <c r="D62" s="24">
        <f>round(D60*10%,2)</f>
        <v>7.2</v>
      </c>
      <c r="E62" s="57"/>
      <c r="F62" s="28"/>
    </row>
    <row r="63">
      <c r="A63" s="33" t="s">
        <v>9</v>
      </c>
      <c r="B63" s="31"/>
      <c r="C63" s="32"/>
      <c r="D63" s="39">
        <f>D60-D61+D62</f>
        <v>72</v>
      </c>
      <c r="E63" s="90">
        <v>26357.0</v>
      </c>
      <c r="F63" s="41">
        <f>round(D63*E63,0)</f>
        <v>1897704</v>
      </c>
    </row>
    <row r="64">
      <c r="A64" s="33" t="s">
        <v>26</v>
      </c>
      <c r="B64" s="31"/>
      <c r="C64" s="32"/>
      <c r="D64" s="39"/>
      <c r="E64" s="90"/>
      <c r="F64" s="41">
        <f>round(F63*10%,0)</f>
        <v>189770</v>
      </c>
    </row>
    <row r="65">
      <c r="A65" s="33" t="s">
        <v>16</v>
      </c>
      <c r="B65" s="31"/>
      <c r="C65" s="32"/>
      <c r="D65" s="39"/>
      <c r="E65" s="90"/>
      <c r="F65" s="41">
        <f>F63+F64</f>
        <v>2087474</v>
      </c>
    </row>
    <row r="71">
      <c r="A71" s="52" t="s">
        <v>139</v>
      </c>
    </row>
    <row r="72">
      <c r="A72" s="53"/>
      <c r="B72" s="53"/>
      <c r="C72" s="53"/>
      <c r="D72" s="53"/>
      <c r="E72" s="53"/>
      <c r="F72" s="53"/>
    </row>
    <row r="73">
      <c r="A73" s="9" t="s">
        <v>4</v>
      </c>
      <c r="B73" s="9" t="s">
        <v>5</v>
      </c>
      <c r="C73" s="9" t="s">
        <v>6</v>
      </c>
      <c r="D73" s="9" t="s">
        <v>7</v>
      </c>
      <c r="E73" s="9" t="s">
        <v>8</v>
      </c>
      <c r="F73" s="9" t="s">
        <v>9</v>
      </c>
    </row>
    <row r="74">
      <c r="A74" s="13">
        <v>1.0</v>
      </c>
      <c r="B74" s="54" t="s">
        <v>140</v>
      </c>
      <c r="C74" s="55">
        <v>46113.0</v>
      </c>
      <c r="D74" s="22">
        <v>92.19</v>
      </c>
      <c r="E74" s="56"/>
      <c r="F74" s="28"/>
    </row>
    <row r="75">
      <c r="A75" s="30" t="s">
        <v>113</v>
      </c>
      <c r="B75" s="31"/>
      <c r="C75" s="32"/>
      <c r="D75" s="24">
        <f>round(D74*10%,2)</f>
        <v>9.22</v>
      </c>
      <c r="E75" s="57"/>
      <c r="F75" s="28"/>
    </row>
    <row r="76">
      <c r="A76" s="30" t="s">
        <v>106</v>
      </c>
      <c r="B76" s="31"/>
      <c r="C76" s="32"/>
      <c r="D76" s="24">
        <f>round(D74*10%,2)</f>
        <v>9.22</v>
      </c>
      <c r="E76" s="57"/>
      <c r="F76" s="28"/>
    </row>
    <row r="77">
      <c r="A77" s="33" t="s">
        <v>9</v>
      </c>
      <c r="B77" s="31"/>
      <c r="C77" s="32"/>
      <c r="D77" s="39">
        <f>D74-D75+D76</f>
        <v>92.19</v>
      </c>
      <c r="E77" s="90">
        <v>26368.0</v>
      </c>
      <c r="F77" s="41">
        <f>round(D77*E77,0)</f>
        <v>2430866</v>
      </c>
    </row>
    <row r="78">
      <c r="A78" s="33" t="s">
        <v>26</v>
      </c>
      <c r="B78" s="31"/>
      <c r="C78" s="32"/>
      <c r="D78" s="39"/>
      <c r="E78" s="90"/>
      <c r="F78" s="41">
        <f>round(F77*10%,0)</f>
        <v>243087</v>
      </c>
    </row>
    <row r="79">
      <c r="A79" s="33" t="s">
        <v>16</v>
      </c>
      <c r="B79" s="31"/>
      <c r="C79" s="32"/>
      <c r="D79" s="39"/>
      <c r="E79" s="90"/>
      <c r="F79" s="41">
        <f>F77+F78</f>
        <v>2673953</v>
      </c>
    </row>
    <row r="84">
      <c r="A84" s="52" t="s">
        <v>139</v>
      </c>
    </row>
    <row r="85">
      <c r="A85" s="53"/>
      <c r="B85" s="53"/>
      <c r="C85" s="53"/>
      <c r="D85" s="53"/>
      <c r="E85" s="53"/>
      <c r="F85" s="53"/>
    </row>
    <row r="86">
      <c r="A86" s="9" t="s">
        <v>4</v>
      </c>
      <c r="B86" s="9" t="s">
        <v>5</v>
      </c>
      <c r="C86" s="9" t="s">
        <v>6</v>
      </c>
      <c r="D86" s="9" t="s">
        <v>7</v>
      </c>
      <c r="E86" s="9" t="s">
        <v>8</v>
      </c>
      <c r="F86" s="9" t="s">
        <v>9</v>
      </c>
    </row>
    <row r="87">
      <c r="A87" s="13">
        <v>1.0</v>
      </c>
      <c r="B87" s="54" t="s">
        <v>140</v>
      </c>
      <c r="C87" s="55">
        <v>46143.0</v>
      </c>
      <c r="D87" s="22">
        <v>74.88</v>
      </c>
      <c r="E87" s="56"/>
      <c r="F87" s="28"/>
    </row>
    <row r="88">
      <c r="A88" s="30" t="s">
        <v>113</v>
      </c>
      <c r="B88" s="31"/>
      <c r="C88" s="32"/>
      <c r="D88" s="24">
        <f>round(D87*10%,2)</f>
        <v>7.49</v>
      </c>
      <c r="E88" s="57"/>
      <c r="F88" s="28"/>
    </row>
    <row r="89">
      <c r="A89" s="30" t="s">
        <v>106</v>
      </c>
      <c r="B89" s="31"/>
      <c r="C89" s="32"/>
      <c r="D89" s="24">
        <f>round(D87*10%,2)</f>
        <v>7.49</v>
      </c>
      <c r="E89" s="57"/>
      <c r="F89" s="28"/>
    </row>
    <row r="90">
      <c r="A90" s="33" t="s">
        <v>9</v>
      </c>
      <c r="B90" s="31"/>
      <c r="C90" s="32"/>
      <c r="D90" s="39">
        <f>D87-D88+D89</f>
        <v>74.88</v>
      </c>
      <c r="E90" s="90">
        <v>26395.0</v>
      </c>
      <c r="F90" s="41">
        <f>round(D90*E90,0)</f>
        <v>1976458</v>
      </c>
    </row>
    <row r="91">
      <c r="A91" s="33" t="s">
        <v>26</v>
      </c>
      <c r="B91" s="31"/>
      <c r="C91" s="32"/>
      <c r="D91" s="39"/>
      <c r="E91" s="90"/>
      <c r="F91" s="41">
        <f>round(F90*10%,0)</f>
        <v>197646</v>
      </c>
    </row>
    <row r="92">
      <c r="A92" s="33" t="s">
        <v>16</v>
      </c>
      <c r="B92" s="31"/>
      <c r="C92" s="32"/>
      <c r="D92" s="39"/>
      <c r="E92" s="90"/>
      <c r="F92" s="41">
        <f>F90+F91</f>
        <v>2174104</v>
      </c>
    </row>
    <row r="98">
      <c r="A98" s="52" t="s">
        <v>139</v>
      </c>
    </row>
    <row r="99">
      <c r="A99" s="53"/>
      <c r="B99" s="53"/>
      <c r="C99" s="53"/>
      <c r="D99" s="53"/>
      <c r="E99" s="53"/>
      <c r="F99" s="53"/>
    </row>
    <row r="100">
      <c r="A100" s="9" t="s">
        <v>4</v>
      </c>
      <c r="B100" s="9" t="s">
        <v>5</v>
      </c>
      <c r="C100" s="9" t="s">
        <v>6</v>
      </c>
      <c r="D100" s="9" t="s">
        <v>7</v>
      </c>
      <c r="E100" s="9" t="s">
        <v>8</v>
      </c>
      <c r="F100" s="9" t="s">
        <v>9</v>
      </c>
    </row>
    <row r="101">
      <c r="A101" s="13">
        <v>1.0</v>
      </c>
      <c r="B101" s="54" t="s">
        <v>140</v>
      </c>
      <c r="C101" s="55">
        <v>46174.0</v>
      </c>
      <c r="D101" s="22">
        <v>72.0</v>
      </c>
      <c r="E101" s="56"/>
      <c r="F101" s="28"/>
    </row>
    <row r="102">
      <c r="A102" s="30" t="s">
        <v>113</v>
      </c>
      <c r="B102" s="31"/>
      <c r="C102" s="32"/>
      <c r="D102" s="24">
        <f>round(D101*10%,2)</f>
        <v>7.2</v>
      </c>
      <c r="E102" s="57"/>
      <c r="F102" s="28"/>
    </row>
    <row r="103">
      <c r="A103" s="30" t="s">
        <v>106</v>
      </c>
      <c r="B103" s="31"/>
      <c r="C103" s="32"/>
      <c r="D103" s="24">
        <f>round(D101*10%,2)</f>
        <v>7.2</v>
      </c>
      <c r="E103" s="57"/>
      <c r="F103" s="28"/>
    </row>
    <row r="104">
      <c r="A104" s="33" t="s">
        <v>9</v>
      </c>
      <c r="B104" s="31"/>
      <c r="C104" s="32"/>
      <c r="D104" s="39">
        <f>D101-D102+D103</f>
        <v>72</v>
      </c>
      <c r="E104" s="90">
        <v>26466.0</v>
      </c>
      <c r="F104" s="41">
        <f>round(D104*E104,0)</f>
        <v>1905552</v>
      </c>
    </row>
    <row r="105">
      <c r="A105" s="33" t="s">
        <v>26</v>
      </c>
      <c r="B105" s="31"/>
      <c r="C105" s="32"/>
      <c r="D105" s="39"/>
      <c r="E105" s="90"/>
      <c r="F105" s="41">
        <f>round(F104*10%,0)</f>
        <v>190555</v>
      </c>
    </row>
    <row r="106">
      <c r="A106" s="33" t="s">
        <v>16</v>
      </c>
      <c r="B106" s="31"/>
      <c r="C106" s="32"/>
      <c r="D106" s="39"/>
      <c r="E106" s="90"/>
      <c r="F106" s="41">
        <f>F104+F105</f>
        <v>2096107</v>
      </c>
    </row>
    <row r="112">
      <c r="A112" s="52" t="s">
        <v>139</v>
      </c>
    </row>
    <row r="113">
      <c r="A113" s="53"/>
      <c r="B113" s="53"/>
      <c r="C113" s="53"/>
      <c r="D113" s="53"/>
      <c r="E113" s="53"/>
      <c r="F113" s="53"/>
    </row>
    <row r="114">
      <c r="A114" s="9" t="s">
        <v>4</v>
      </c>
      <c r="B114" s="9" t="s">
        <v>5</v>
      </c>
      <c r="C114" s="9" t="s">
        <v>6</v>
      </c>
      <c r="D114" s="9" t="s">
        <v>7</v>
      </c>
      <c r="E114" s="9" t="s">
        <v>8</v>
      </c>
      <c r="F114" s="9" t="s">
        <v>9</v>
      </c>
    </row>
    <row r="115">
      <c r="A115" s="13">
        <v>1.0</v>
      </c>
      <c r="B115" s="54" t="s">
        <v>140</v>
      </c>
      <c r="C115" s="55">
        <v>46204.0</v>
      </c>
      <c r="D115" s="22">
        <v>72.0</v>
      </c>
      <c r="E115" s="56"/>
      <c r="F115" s="28"/>
    </row>
    <row r="116">
      <c r="A116" s="30" t="s">
        <v>113</v>
      </c>
      <c r="B116" s="31"/>
      <c r="C116" s="32"/>
      <c r="D116" s="24">
        <f>round(D115*10%,2)</f>
        <v>7.2</v>
      </c>
      <c r="E116" s="57"/>
      <c r="F116" s="28"/>
    </row>
    <row r="117">
      <c r="A117" s="30" t="s">
        <v>106</v>
      </c>
      <c r="B117" s="31"/>
      <c r="C117" s="32"/>
      <c r="D117" s="24">
        <f>round(D115*10%,2)</f>
        <v>7.2</v>
      </c>
      <c r="E117" s="57"/>
      <c r="F117" s="28"/>
    </row>
    <row r="118">
      <c r="A118" s="33" t="s">
        <v>9</v>
      </c>
      <c r="B118" s="31"/>
      <c r="C118" s="32"/>
      <c r="D118" s="39">
        <f>D115-D116+D117</f>
        <v>72</v>
      </c>
      <c r="E118" s="90">
        <v>26475.0</v>
      </c>
      <c r="F118" s="41">
        <f>round(D118*E118,0)</f>
        <v>1906200</v>
      </c>
    </row>
    <row r="119">
      <c r="A119" s="33" t="s">
        <v>26</v>
      </c>
      <c r="B119" s="31"/>
      <c r="C119" s="32"/>
      <c r="D119" s="39"/>
      <c r="E119" s="90"/>
      <c r="F119" s="41">
        <f>round(F118*10%,0)</f>
        <v>190620</v>
      </c>
    </row>
    <row r="120">
      <c r="A120" s="33" t="s">
        <v>16</v>
      </c>
      <c r="B120" s="31"/>
      <c r="C120" s="32"/>
      <c r="D120" s="39"/>
      <c r="E120" s="90"/>
      <c r="F120" s="41">
        <f>F118+F119</f>
        <v>2096820</v>
      </c>
    </row>
  </sheetData>
  <mergeCells count="54"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29:F29"/>
    <mergeCell ref="A33:C33"/>
    <mergeCell ref="A34:C34"/>
    <mergeCell ref="A35:C35"/>
    <mergeCell ref="A36:C36"/>
    <mergeCell ref="A37:C37"/>
    <mergeCell ref="A43:F43"/>
    <mergeCell ref="A47:C47"/>
    <mergeCell ref="A48:C48"/>
    <mergeCell ref="A49:C49"/>
    <mergeCell ref="A50:C50"/>
    <mergeCell ref="A51:C51"/>
    <mergeCell ref="A57:F57"/>
    <mergeCell ref="A61:C61"/>
    <mergeCell ref="A62:C62"/>
    <mergeCell ref="A63:C63"/>
    <mergeCell ref="A64:C64"/>
    <mergeCell ref="A65:C65"/>
    <mergeCell ref="A71:F71"/>
    <mergeCell ref="A75:C75"/>
    <mergeCell ref="A76:C76"/>
    <mergeCell ref="A77:C77"/>
    <mergeCell ref="A78:C78"/>
    <mergeCell ref="A79:C79"/>
    <mergeCell ref="A84:F84"/>
    <mergeCell ref="A88:C88"/>
    <mergeCell ref="A89:C89"/>
    <mergeCell ref="A90:C90"/>
    <mergeCell ref="A91:C91"/>
    <mergeCell ref="A92:C92"/>
    <mergeCell ref="A116:C116"/>
    <mergeCell ref="A117:C117"/>
    <mergeCell ref="A118:C118"/>
    <mergeCell ref="A119:C119"/>
    <mergeCell ref="A120:C120"/>
    <mergeCell ref="A98:F98"/>
    <mergeCell ref="A102:C102"/>
    <mergeCell ref="A103:C103"/>
    <mergeCell ref="A104:C104"/>
    <mergeCell ref="A105:C105"/>
    <mergeCell ref="A106:C106"/>
    <mergeCell ref="A112:F112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9.63"/>
    <col customWidth="1" min="3" max="3" width="11.63"/>
    <col customWidth="1" min="4" max="4" width="21.0"/>
    <col customWidth="1" min="5" max="5" width="11.75"/>
    <col customWidth="1" min="6" max="6" width="18.63"/>
  </cols>
  <sheetData>
    <row r="1">
      <c r="A1" s="52" t="s">
        <v>141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142</v>
      </c>
      <c r="C4" s="55">
        <v>45962.0</v>
      </c>
      <c r="D4" s="22">
        <v>17.91</v>
      </c>
      <c r="E4" s="56"/>
      <c r="F4" s="28"/>
    </row>
    <row r="5">
      <c r="A5" s="30" t="s">
        <v>113</v>
      </c>
      <c r="B5" s="31"/>
      <c r="C5" s="32"/>
      <c r="D5" s="24">
        <f>round(D4*10%,2)</f>
        <v>1.79</v>
      </c>
      <c r="E5" s="57"/>
      <c r="F5" s="28"/>
    </row>
    <row r="6">
      <c r="A6" s="30" t="s">
        <v>106</v>
      </c>
      <c r="B6" s="31"/>
      <c r="C6" s="32"/>
      <c r="D6" s="24">
        <f>round(D4*10%,2)</f>
        <v>1.79</v>
      </c>
      <c r="E6" s="57"/>
      <c r="F6" s="28"/>
    </row>
    <row r="7">
      <c r="A7" s="33" t="s">
        <v>9</v>
      </c>
      <c r="B7" s="31"/>
      <c r="C7" s="32"/>
      <c r="D7" s="39">
        <f>D4-D5+D6</f>
        <v>17.91</v>
      </c>
      <c r="E7" s="90">
        <v>26412.0</v>
      </c>
      <c r="F7" s="41">
        <f>round(D7*E7,0)</f>
        <v>473039</v>
      </c>
    </row>
    <row r="8">
      <c r="A8" s="33" t="s">
        <v>26</v>
      </c>
      <c r="B8" s="31"/>
      <c r="C8" s="32"/>
      <c r="D8" s="39"/>
      <c r="E8" s="90"/>
      <c r="F8" s="41">
        <f>round(F7*10%,0)</f>
        <v>47304</v>
      </c>
    </row>
    <row r="9">
      <c r="A9" s="33" t="s">
        <v>16</v>
      </c>
      <c r="B9" s="31"/>
      <c r="C9" s="32"/>
      <c r="D9" s="39"/>
      <c r="E9" s="90"/>
      <c r="F9" s="41">
        <f>F7+F8</f>
        <v>520343</v>
      </c>
    </row>
    <row r="15">
      <c r="A15" s="52" t="s">
        <v>141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142</v>
      </c>
      <c r="C18" s="55">
        <v>45992.0</v>
      </c>
      <c r="D18" s="22">
        <v>40.77</v>
      </c>
      <c r="E18" s="56"/>
      <c r="F18" s="28"/>
    </row>
    <row r="19">
      <c r="A19" s="30" t="s">
        <v>113</v>
      </c>
      <c r="B19" s="31"/>
      <c r="C19" s="32"/>
      <c r="D19" s="24">
        <f>round(D18*10%,2)</f>
        <v>4.08</v>
      </c>
      <c r="E19" s="57"/>
      <c r="F19" s="28"/>
    </row>
    <row r="20">
      <c r="A20" s="30" t="s">
        <v>106</v>
      </c>
      <c r="B20" s="31"/>
      <c r="C20" s="32"/>
      <c r="D20" s="24">
        <f>round(D18*10%,2)</f>
        <v>4.08</v>
      </c>
      <c r="E20" s="57"/>
      <c r="F20" s="28"/>
    </row>
    <row r="21">
      <c r="A21" s="33" t="s">
        <v>9</v>
      </c>
      <c r="B21" s="31"/>
      <c r="C21" s="32"/>
      <c r="D21" s="39">
        <f>D18-D19+D20</f>
        <v>40.77</v>
      </c>
      <c r="E21" s="90">
        <v>26377.0</v>
      </c>
      <c r="F21" s="41">
        <f>round(D21*E21,0)</f>
        <v>1075390</v>
      </c>
    </row>
    <row r="22">
      <c r="A22" s="33" t="s">
        <v>26</v>
      </c>
      <c r="B22" s="31"/>
      <c r="C22" s="32"/>
      <c r="D22" s="39"/>
      <c r="E22" s="90"/>
      <c r="F22" s="41">
        <f>round(F21*10%,0)</f>
        <v>107539</v>
      </c>
    </row>
    <row r="23">
      <c r="A23" s="33" t="s">
        <v>16</v>
      </c>
      <c r="B23" s="31"/>
      <c r="C23" s="32"/>
      <c r="D23" s="39"/>
      <c r="E23" s="90"/>
      <c r="F23" s="41">
        <f>F21+F22</f>
        <v>1182929</v>
      </c>
    </row>
    <row r="29">
      <c r="A29" s="52" t="s">
        <v>141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142</v>
      </c>
      <c r="C32" s="55">
        <v>46023.0</v>
      </c>
      <c r="D32" s="22">
        <v>40.88</v>
      </c>
      <c r="E32" s="56"/>
      <c r="F32" s="28"/>
    </row>
    <row r="33">
      <c r="A33" s="30" t="s">
        <v>113</v>
      </c>
      <c r="B33" s="31"/>
      <c r="C33" s="32"/>
      <c r="D33" s="24">
        <f>round(D32*10%,2)</f>
        <v>4.09</v>
      </c>
      <c r="E33" s="57"/>
      <c r="F33" s="28"/>
    </row>
    <row r="34">
      <c r="A34" s="30" t="s">
        <v>106</v>
      </c>
      <c r="B34" s="31"/>
      <c r="C34" s="32"/>
      <c r="D34" s="24">
        <f>round(D32*10%,2)</f>
        <v>4.09</v>
      </c>
      <c r="E34" s="57"/>
      <c r="F34" s="28"/>
    </row>
    <row r="35">
      <c r="A35" s="33" t="s">
        <v>9</v>
      </c>
      <c r="B35" s="31"/>
      <c r="C35" s="32"/>
      <c r="D35" s="39">
        <f>D32-D33+D34</f>
        <v>40.88</v>
      </c>
      <c r="E35" s="90">
        <v>26145.0</v>
      </c>
      <c r="F35" s="41">
        <f>round(D35*E35,0)</f>
        <v>1068808</v>
      </c>
    </row>
    <row r="36">
      <c r="A36" s="33" t="s">
        <v>26</v>
      </c>
      <c r="B36" s="31"/>
      <c r="C36" s="32"/>
      <c r="D36" s="39"/>
      <c r="E36" s="90"/>
      <c r="F36" s="41">
        <f>round(F35*10%,0)</f>
        <v>106881</v>
      </c>
    </row>
    <row r="37">
      <c r="A37" s="33" t="s">
        <v>16</v>
      </c>
      <c r="B37" s="31"/>
      <c r="C37" s="32"/>
      <c r="D37" s="39"/>
      <c r="E37" s="90"/>
      <c r="F37" s="41">
        <f>F35+F36</f>
        <v>1175689</v>
      </c>
    </row>
    <row r="43">
      <c r="A43" s="52" t="s">
        <v>141</v>
      </c>
    </row>
    <row r="44">
      <c r="A44" s="53"/>
      <c r="B44" s="53"/>
      <c r="C44" s="53"/>
      <c r="D44" s="53"/>
      <c r="E44" s="53"/>
      <c r="F44" s="53"/>
    </row>
    <row r="45">
      <c r="A45" s="9" t="s">
        <v>4</v>
      </c>
      <c r="B45" s="9" t="s">
        <v>5</v>
      </c>
      <c r="C45" s="9" t="s">
        <v>6</v>
      </c>
      <c r="D45" s="9" t="s">
        <v>7</v>
      </c>
      <c r="E45" s="9" t="s">
        <v>8</v>
      </c>
      <c r="F45" s="9" t="s">
        <v>9</v>
      </c>
    </row>
    <row r="46">
      <c r="A46" s="13">
        <v>1.0</v>
      </c>
      <c r="B46" s="54" t="s">
        <v>142</v>
      </c>
      <c r="C46" s="55">
        <v>46054.0</v>
      </c>
      <c r="D46" s="22">
        <v>41.1</v>
      </c>
      <c r="E46" s="56"/>
      <c r="F46" s="28"/>
    </row>
    <row r="47">
      <c r="A47" s="30" t="s">
        <v>113</v>
      </c>
      <c r="B47" s="31"/>
      <c r="C47" s="32"/>
      <c r="D47" s="24">
        <f>round(D46*10%,2)</f>
        <v>4.11</v>
      </c>
      <c r="E47" s="57"/>
      <c r="F47" s="28"/>
    </row>
    <row r="48">
      <c r="A48" s="30" t="s">
        <v>106</v>
      </c>
      <c r="B48" s="31"/>
      <c r="C48" s="32"/>
      <c r="D48" s="24">
        <f>round(D46*10%,2)</f>
        <v>4.11</v>
      </c>
      <c r="E48" s="57"/>
      <c r="F48" s="28"/>
    </row>
    <row r="49">
      <c r="A49" s="33" t="s">
        <v>9</v>
      </c>
      <c r="B49" s="31"/>
      <c r="C49" s="32"/>
      <c r="D49" s="39">
        <f>D46-D47+D48</f>
        <v>41.1</v>
      </c>
      <c r="E49" s="90">
        <v>26240.0</v>
      </c>
      <c r="F49" s="41">
        <f>round(D49*E49,0)</f>
        <v>1078464</v>
      </c>
    </row>
    <row r="50">
      <c r="A50" s="33" t="s">
        <v>26</v>
      </c>
      <c r="B50" s="31"/>
      <c r="C50" s="32"/>
      <c r="D50" s="39"/>
      <c r="E50" s="90"/>
      <c r="F50" s="41">
        <f>round(F49*10%,0)</f>
        <v>107846</v>
      </c>
    </row>
    <row r="51">
      <c r="A51" s="33" t="s">
        <v>16</v>
      </c>
      <c r="B51" s="31"/>
      <c r="C51" s="32"/>
      <c r="D51" s="39"/>
      <c r="E51" s="90"/>
      <c r="F51" s="41">
        <f>F49+F50</f>
        <v>1186310</v>
      </c>
    </row>
    <row r="57">
      <c r="A57" s="52" t="s">
        <v>141</v>
      </c>
    </row>
    <row r="58">
      <c r="A58" s="53"/>
      <c r="B58" s="53"/>
      <c r="C58" s="53"/>
      <c r="D58" s="53"/>
      <c r="E58" s="53"/>
      <c r="F58" s="53"/>
    </row>
    <row r="59">
      <c r="A59" s="9" t="s">
        <v>4</v>
      </c>
      <c r="B59" s="9" t="s">
        <v>5</v>
      </c>
      <c r="C59" s="9" t="s">
        <v>6</v>
      </c>
      <c r="D59" s="9" t="s">
        <v>7</v>
      </c>
      <c r="E59" s="9" t="s">
        <v>8</v>
      </c>
      <c r="F59" s="9" t="s">
        <v>9</v>
      </c>
    </row>
    <row r="60">
      <c r="A60" s="13">
        <v>1.0</v>
      </c>
      <c r="B60" s="54" t="s">
        <v>142</v>
      </c>
      <c r="C60" s="55">
        <v>46082.0</v>
      </c>
      <c r="D60" s="22">
        <v>41.35</v>
      </c>
      <c r="E60" s="56"/>
      <c r="F60" s="28"/>
    </row>
    <row r="61">
      <c r="A61" s="30" t="s">
        <v>113</v>
      </c>
      <c r="B61" s="31"/>
      <c r="C61" s="32"/>
      <c r="D61" s="24">
        <f>round(D60*10%,2)</f>
        <v>4.14</v>
      </c>
      <c r="E61" s="57"/>
      <c r="F61" s="28"/>
    </row>
    <row r="62">
      <c r="A62" s="30" t="s">
        <v>106</v>
      </c>
      <c r="B62" s="31"/>
      <c r="C62" s="32"/>
      <c r="D62" s="24">
        <f>round(D60*10%,2)</f>
        <v>4.14</v>
      </c>
      <c r="E62" s="57"/>
      <c r="F62" s="28"/>
    </row>
    <row r="63">
      <c r="A63" s="33" t="s">
        <v>9</v>
      </c>
      <c r="B63" s="31"/>
      <c r="C63" s="32"/>
      <c r="D63" s="39">
        <f>D60-D61+D62</f>
        <v>41.35</v>
      </c>
      <c r="E63" s="90">
        <v>26357.0</v>
      </c>
      <c r="F63" s="41">
        <f>round(D63*E63,0)</f>
        <v>1089862</v>
      </c>
    </row>
    <row r="64">
      <c r="A64" s="33" t="s">
        <v>26</v>
      </c>
      <c r="B64" s="31"/>
      <c r="C64" s="32"/>
      <c r="D64" s="39"/>
      <c r="E64" s="90"/>
      <c r="F64" s="41">
        <f>round(F63*10%,0)</f>
        <v>108986</v>
      </c>
    </row>
    <row r="65">
      <c r="A65" s="33" t="s">
        <v>16</v>
      </c>
      <c r="B65" s="31"/>
      <c r="C65" s="32"/>
      <c r="D65" s="39"/>
      <c r="E65" s="90"/>
      <c r="F65" s="41">
        <f>F63+F64</f>
        <v>1198848</v>
      </c>
    </row>
    <row r="71">
      <c r="A71" s="52" t="s">
        <v>141</v>
      </c>
    </row>
    <row r="72">
      <c r="A72" s="53"/>
      <c r="B72" s="53"/>
      <c r="C72" s="53"/>
      <c r="D72" s="53"/>
      <c r="E72" s="53"/>
      <c r="F72" s="53"/>
    </row>
    <row r="73">
      <c r="A73" s="9" t="s">
        <v>4</v>
      </c>
      <c r="B73" s="9" t="s">
        <v>5</v>
      </c>
      <c r="C73" s="9" t="s">
        <v>6</v>
      </c>
      <c r="D73" s="9" t="s">
        <v>7</v>
      </c>
      <c r="E73" s="9" t="s">
        <v>8</v>
      </c>
      <c r="F73" s="9" t="s">
        <v>9</v>
      </c>
    </row>
    <row r="74">
      <c r="A74" s="13">
        <v>1.0</v>
      </c>
      <c r="B74" s="54" t="s">
        <v>142</v>
      </c>
      <c r="C74" s="55">
        <v>46113.0</v>
      </c>
      <c r="D74" s="22">
        <v>42.22</v>
      </c>
      <c r="E74" s="56"/>
      <c r="F74" s="28"/>
    </row>
    <row r="75">
      <c r="A75" s="30" t="s">
        <v>113</v>
      </c>
      <c r="B75" s="31"/>
      <c r="C75" s="32"/>
      <c r="D75" s="24">
        <f>round(D74*10%,2)</f>
        <v>4.22</v>
      </c>
      <c r="E75" s="57"/>
      <c r="F75" s="28"/>
    </row>
    <row r="76">
      <c r="A76" s="30" t="s">
        <v>106</v>
      </c>
      <c r="B76" s="31"/>
      <c r="C76" s="32"/>
      <c r="D76" s="24">
        <f>round(D74*10%,2)</f>
        <v>4.22</v>
      </c>
      <c r="E76" s="57"/>
      <c r="F76" s="28"/>
    </row>
    <row r="77">
      <c r="A77" s="33" t="s">
        <v>9</v>
      </c>
      <c r="B77" s="31"/>
      <c r="C77" s="32"/>
      <c r="D77" s="39">
        <f>D74-D75+D76</f>
        <v>42.22</v>
      </c>
      <c r="E77" s="90">
        <v>26368.0</v>
      </c>
      <c r="F77" s="41">
        <f>round(D77*E77,0)</f>
        <v>1113257</v>
      </c>
    </row>
    <row r="78">
      <c r="A78" s="33" t="s">
        <v>26</v>
      </c>
      <c r="B78" s="31"/>
      <c r="C78" s="32"/>
      <c r="D78" s="39"/>
      <c r="E78" s="90"/>
      <c r="F78" s="41">
        <f>round(F77*10%,0)</f>
        <v>111326</v>
      </c>
    </row>
    <row r="79">
      <c r="A79" s="33" t="s">
        <v>16</v>
      </c>
      <c r="B79" s="31"/>
      <c r="C79" s="32"/>
      <c r="D79" s="39"/>
      <c r="E79" s="90"/>
      <c r="F79" s="41">
        <f>F77+F78</f>
        <v>1224583</v>
      </c>
    </row>
    <row r="85">
      <c r="A85" s="52" t="s">
        <v>141</v>
      </c>
    </row>
    <row r="86">
      <c r="A86" s="53"/>
      <c r="B86" s="53"/>
      <c r="C86" s="53"/>
      <c r="D86" s="53"/>
      <c r="E86" s="53"/>
      <c r="F86" s="53"/>
    </row>
    <row r="87">
      <c r="A87" s="9" t="s">
        <v>4</v>
      </c>
      <c r="B87" s="9" t="s">
        <v>5</v>
      </c>
      <c r="C87" s="9" t="s">
        <v>6</v>
      </c>
      <c r="D87" s="9" t="s">
        <v>7</v>
      </c>
      <c r="E87" s="9" t="s">
        <v>8</v>
      </c>
      <c r="F87" s="9" t="s">
        <v>9</v>
      </c>
    </row>
    <row r="88">
      <c r="A88" s="13">
        <v>1.0</v>
      </c>
      <c r="B88" s="54" t="s">
        <v>142</v>
      </c>
      <c r="C88" s="55">
        <v>46143.0</v>
      </c>
      <c r="D88" s="22">
        <v>43.0</v>
      </c>
      <c r="E88" s="56"/>
      <c r="F88" s="28"/>
    </row>
    <row r="89">
      <c r="A89" s="30" t="s">
        <v>113</v>
      </c>
      <c r="B89" s="31"/>
      <c r="C89" s="32"/>
      <c r="D89" s="24">
        <f>round(D88*10%,2)</f>
        <v>4.3</v>
      </c>
      <c r="E89" s="57"/>
      <c r="F89" s="28"/>
    </row>
    <row r="90">
      <c r="A90" s="30" t="s">
        <v>106</v>
      </c>
      <c r="B90" s="31"/>
      <c r="C90" s="32"/>
      <c r="D90" s="24">
        <f>round(D88*10%,2)</f>
        <v>4.3</v>
      </c>
      <c r="E90" s="57"/>
      <c r="F90" s="28"/>
    </row>
    <row r="91">
      <c r="A91" s="33" t="s">
        <v>9</v>
      </c>
      <c r="B91" s="31"/>
      <c r="C91" s="32"/>
      <c r="D91" s="39">
        <f>D88-D89+D90</f>
        <v>43</v>
      </c>
      <c r="E91" s="90">
        <v>26395.0</v>
      </c>
      <c r="F91" s="41">
        <f>round(D91*E91,0)</f>
        <v>1134985</v>
      </c>
    </row>
    <row r="92">
      <c r="A92" s="33" t="s">
        <v>26</v>
      </c>
      <c r="B92" s="31"/>
      <c r="C92" s="32"/>
      <c r="D92" s="39"/>
      <c r="E92" s="90"/>
      <c r="F92" s="41">
        <f>round(F91*10%,0)</f>
        <v>113499</v>
      </c>
    </row>
    <row r="93">
      <c r="A93" s="33" t="s">
        <v>16</v>
      </c>
      <c r="B93" s="31"/>
      <c r="C93" s="32"/>
      <c r="D93" s="39"/>
      <c r="E93" s="90"/>
      <c r="F93" s="41">
        <f>F91+F92</f>
        <v>1248484</v>
      </c>
    </row>
    <row r="99">
      <c r="A99" s="52" t="s">
        <v>141</v>
      </c>
    </row>
    <row r="100">
      <c r="A100" s="53"/>
      <c r="B100" s="53"/>
      <c r="C100" s="53"/>
      <c r="D100" s="53"/>
      <c r="E100" s="53"/>
      <c r="F100" s="53"/>
    </row>
    <row r="101">
      <c r="A101" s="9" t="s">
        <v>4</v>
      </c>
      <c r="B101" s="9" t="s">
        <v>5</v>
      </c>
      <c r="C101" s="9" t="s">
        <v>6</v>
      </c>
      <c r="D101" s="9" t="s">
        <v>7</v>
      </c>
      <c r="E101" s="9" t="s">
        <v>8</v>
      </c>
      <c r="F101" s="9" t="s">
        <v>9</v>
      </c>
    </row>
    <row r="102">
      <c r="A102" s="13">
        <v>1.0</v>
      </c>
      <c r="B102" s="54" t="s">
        <v>142</v>
      </c>
      <c r="C102" s="55">
        <v>46174.0</v>
      </c>
      <c r="D102" s="22">
        <v>43.25</v>
      </c>
      <c r="E102" s="56"/>
      <c r="F102" s="28"/>
    </row>
    <row r="103">
      <c r="A103" s="30" t="s">
        <v>113</v>
      </c>
      <c r="B103" s="31"/>
      <c r="C103" s="32"/>
      <c r="D103" s="24">
        <f>round(D102*10%,2)</f>
        <v>4.33</v>
      </c>
      <c r="E103" s="57"/>
      <c r="F103" s="28"/>
    </row>
    <row r="104">
      <c r="A104" s="30" t="s">
        <v>106</v>
      </c>
      <c r="B104" s="31"/>
      <c r="C104" s="32"/>
      <c r="D104" s="24">
        <f>round(D102*10%,2)</f>
        <v>4.33</v>
      </c>
      <c r="E104" s="57"/>
      <c r="F104" s="28"/>
    </row>
    <row r="105">
      <c r="A105" s="33" t="s">
        <v>9</v>
      </c>
      <c r="B105" s="31"/>
      <c r="C105" s="32"/>
      <c r="D105" s="39">
        <f>D102-D103+D104</f>
        <v>43.25</v>
      </c>
      <c r="E105" s="90">
        <v>26466.0</v>
      </c>
      <c r="F105" s="41">
        <f>round(D105*E105,0)</f>
        <v>1144655</v>
      </c>
    </row>
    <row r="106">
      <c r="A106" s="33" t="s">
        <v>26</v>
      </c>
      <c r="B106" s="31"/>
      <c r="C106" s="32"/>
      <c r="D106" s="39"/>
      <c r="E106" s="90"/>
      <c r="F106" s="41">
        <f>round(F105*10%,0)</f>
        <v>114466</v>
      </c>
    </row>
    <row r="107">
      <c r="A107" s="33" t="s">
        <v>16</v>
      </c>
      <c r="B107" s="31"/>
      <c r="C107" s="32"/>
      <c r="D107" s="39"/>
      <c r="E107" s="90"/>
      <c r="F107" s="41">
        <f>F105+F106</f>
        <v>1259121</v>
      </c>
    </row>
    <row r="113">
      <c r="A113" s="52" t="s">
        <v>141</v>
      </c>
    </row>
    <row r="114">
      <c r="A114" s="53"/>
      <c r="B114" s="53"/>
      <c r="C114" s="53"/>
      <c r="D114" s="53"/>
      <c r="E114" s="53"/>
      <c r="F114" s="53"/>
    </row>
    <row r="115">
      <c r="A115" s="9" t="s">
        <v>4</v>
      </c>
      <c r="B115" s="9" t="s">
        <v>5</v>
      </c>
      <c r="C115" s="9" t="s">
        <v>6</v>
      </c>
      <c r="D115" s="9" t="s">
        <v>7</v>
      </c>
      <c r="E115" s="9" t="s">
        <v>8</v>
      </c>
      <c r="F115" s="9" t="s">
        <v>9</v>
      </c>
    </row>
    <row r="116">
      <c r="A116" s="13">
        <v>1.0</v>
      </c>
      <c r="B116" s="54" t="s">
        <v>142</v>
      </c>
      <c r="C116" s="55">
        <v>46204.0</v>
      </c>
      <c r="D116" s="22">
        <v>43.38</v>
      </c>
      <c r="E116" s="56"/>
      <c r="F116" s="28"/>
    </row>
    <row r="117">
      <c r="A117" s="30" t="s">
        <v>113</v>
      </c>
      <c r="B117" s="31"/>
      <c r="C117" s="32"/>
      <c r="D117" s="24">
        <f>round(D116*10%,2)</f>
        <v>4.34</v>
      </c>
      <c r="E117" s="57"/>
      <c r="F117" s="28"/>
    </row>
    <row r="118">
      <c r="A118" s="30" t="s">
        <v>106</v>
      </c>
      <c r="B118" s="31"/>
      <c r="C118" s="32"/>
      <c r="D118" s="24">
        <f>round(D116*10%,2)</f>
        <v>4.34</v>
      </c>
      <c r="E118" s="57"/>
      <c r="F118" s="28"/>
    </row>
    <row r="119">
      <c r="A119" s="33" t="s">
        <v>9</v>
      </c>
      <c r="B119" s="31"/>
      <c r="C119" s="32"/>
      <c r="D119" s="39">
        <f>D116-D117+D118</f>
        <v>43.38</v>
      </c>
      <c r="E119" s="90">
        <v>26475.0</v>
      </c>
      <c r="F119" s="41">
        <f>round(D119*E119,0)</f>
        <v>1148486</v>
      </c>
    </row>
    <row r="120">
      <c r="A120" s="33" t="s">
        <v>26</v>
      </c>
      <c r="B120" s="31"/>
      <c r="C120" s="32"/>
      <c r="D120" s="39"/>
      <c r="E120" s="90"/>
      <c r="F120" s="41">
        <f>round(F119*10%,0)</f>
        <v>114849</v>
      </c>
    </row>
    <row r="121">
      <c r="A121" s="33" t="s">
        <v>16</v>
      </c>
      <c r="B121" s="31"/>
      <c r="C121" s="32"/>
      <c r="D121" s="39"/>
      <c r="E121" s="90"/>
      <c r="F121" s="41">
        <f>F119+F120</f>
        <v>1263335</v>
      </c>
    </row>
  </sheetData>
  <mergeCells count="54"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29:F29"/>
    <mergeCell ref="A33:C33"/>
    <mergeCell ref="A34:C34"/>
    <mergeCell ref="A35:C35"/>
    <mergeCell ref="A36:C36"/>
    <mergeCell ref="A37:C37"/>
    <mergeCell ref="A43:F43"/>
    <mergeCell ref="A47:C47"/>
    <mergeCell ref="A48:C48"/>
    <mergeCell ref="A49:C49"/>
    <mergeCell ref="A50:C50"/>
    <mergeCell ref="A51:C51"/>
    <mergeCell ref="A57:F57"/>
    <mergeCell ref="A61:C61"/>
    <mergeCell ref="A62:C62"/>
    <mergeCell ref="A63:C63"/>
    <mergeCell ref="A64:C64"/>
    <mergeCell ref="A65:C65"/>
    <mergeCell ref="A71:F71"/>
    <mergeCell ref="A75:C75"/>
    <mergeCell ref="A76:C76"/>
    <mergeCell ref="A77:C77"/>
    <mergeCell ref="A78:C78"/>
    <mergeCell ref="A79:C79"/>
    <mergeCell ref="A85:F85"/>
    <mergeCell ref="A89:C89"/>
    <mergeCell ref="A90:C90"/>
    <mergeCell ref="A91:C91"/>
    <mergeCell ref="A92:C92"/>
    <mergeCell ref="A93:C93"/>
    <mergeCell ref="A117:C117"/>
    <mergeCell ref="A118:C118"/>
    <mergeCell ref="A119:C119"/>
    <mergeCell ref="A120:C120"/>
    <mergeCell ref="A121:C121"/>
    <mergeCell ref="A99:F99"/>
    <mergeCell ref="A103:C103"/>
    <mergeCell ref="A104:C104"/>
    <mergeCell ref="A105:C105"/>
    <mergeCell ref="A106:C106"/>
    <mergeCell ref="A107:C107"/>
    <mergeCell ref="A113:F113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9.63"/>
    <col customWidth="1" min="3" max="3" width="11.63"/>
    <col customWidth="1" min="4" max="4" width="21.0"/>
    <col customWidth="1" min="5" max="5" width="11.75"/>
    <col customWidth="1" min="6" max="6" width="18.63"/>
    <col customWidth="1" min="8" max="8" width="7.38"/>
    <col customWidth="1" min="9" max="9" width="12.38"/>
    <col customWidth="1" min="10" max="10" width="14.75"/>
    <col customWidth="1" min="11" max="11" width="11.38"/>
    <col customWidth="1" min="12" max="12" width="29.63"/>
    <col customWidth="1" min="13" max="13" width="15.0"/>
    <col customWidth="1" min="14" max="14" width="19.88"/>
  </cols>
  <sheetData>
    <row r="1">
      <c r="A1" s="52" t="s">
        <v>143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144</v>
      </c>
      <c r="C4" s="55">
        <v>45992.0</v>
      </c>
      <c r="D4" s="22">
        <v>13.28</v>
      </c>
      <c r="E4" s="56"/>
      <c r="F4" s="28"/>
    </row>
    <row r="5">
      <c r="A5" s="30" t="s">
        <v>113</v>
      </c>
      <c r="B5" s="31"/>
      <c r="C5" s="32"/>
      <c r="D5" s="24">
        <f>round(D4*10%,2)</f>
        <v>1.33</v>
      </c>
      <c r="E5" s="57"/>
      <c r="F5" s="28"/>
    </row>
    <row r="6">
      <c r="A6" s="30" t="s">
        <v>106</v>
      </c>
      <c r="B6" s="31"/>
      <c r="C6" s="32"/>
      <c r="D6" s="24">
        <f>round(D4*10%,2)</f>
        <v>1.33</v>
      </c>
      <c r="E6" s="57"/>
      <c r="F6" s="28"/>
    </row>
    <row r="7">
      <c r="A7" s="33" t="s">
        <v>9</v>
      </c>
      <c r="B7" s="31"/>
      <c r="C7" s="32"/>
      <c r="D7" s="39">
        <f>D4-D5+D6</f>
        <v>13.28</v>
      </c>
      <c r="E7" s="90">
        <v>26377.0</v>
      </c>
      <c r="F7" s="41">
        <f>round(D7*E7,0)</f>
        <v>350287</v>
      </c>
    </row>
    <row r="8">
      <c r="A8" s="33" t="s">
        <v>26</v>
      </c>
      <c r="B8" s="31"/>
      <c r="C8" s="32"/>
      <c r="D8" s="39"/>
      <c r="E8" s="90"/>
      <c r="F8" s="41">
        <f>round(F7*10%,0)</f>
        <v>35029</v>
      </c>
    </row>
    <row r="9">
      <c r="A9" s="33" t="s">
        <v>16</v>
      </c>
      <c r="B9" s="31"/>
      <c r="C9" s="32"/>
      <c r="D9" s="39"/>
      <c r="E9" s="90"/>
      <c r="F9" s="41">
        <f>F7+F8</f>
        <v>385316</v>
      </c>
    </row>
    <row r="15">
      <c r="A15" s="52" t="s">
        <v>143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144</v>
      </c>
      <c r="C18" s="55">
        <v>46023.0</v>
      </c>
      <c r="D18" s="22">
        <v>48.0</v>
      </c>
      <c r="E18" s="56"/>
      <c r="F18" s="28"/>
    </row>
    <row r="19">
      <c r="A19" s="30" t="s">
        <v>113</v>
      </c>
      <c r="B19" s="31"/>
      <c r="C19" s="32"/>
      <c r="D19" s="24">
        <f>round(D18*10%,2)</f>
        <v>4.8</v>
      </c>
      <c r="E19" s="57"/>
      <c r="F19" s="28"/>
    </row>
    <row r="20">
      <c r="A20" s="30" t="s">
        <v>106</v>
      </c>
      <c r="B20" s="31"/>
      <c r="C20" s="32"/>
      <c r="D20" s="24">
        <f>round(D18*10%,2)</f>
        <v>4.8</v>
      </c>
      <c r="E20" s="57"/>
      <c r="F20" s="28"/>
    </row>
    <row r="21">
      <c r="A21" s="33" t="s">
        <v>9</v>
      </c>
      <c r="B21" s="31"/>
      <c r="C21" s="32"/>
      <c r="D21" s="39">
        <f>D18-D19+D20</f>
        <v>48</v>
      </c>
      <c r="E21" s="90">
        <v>26145.0</v>
      </c>
      <c r="F21" s="41">
        <f>round(D21*E21,0)</f>
        <v>1254960</v>
      </c>
    </row>
    <row r="22">
      <c r="A22" s="33" t="s">
        <v>26</v>
      </c>
      <c r="B22" s="31"/>
      <c r="C22" s="32"/>
      <c r="D22" s="39"/>
      <c r="E22" s="90"/>
      <c r="F22" s="41">
        <f>round(F21*10%,0)</f>
        <v>125496</v>
      </c>
    </row>
    <row r="23">
      <c r="A23" s="33" t="s">
        <v>16</v>
      </c>
      <c r="B23" s="31"/>
      <c r="C23" s="32"/>
      <c r="D23" s="39"/>
      <c r="E23" s="90"/>
      <c r="F23" s="41">
        <f>F21+F22</f>
        <v>1380456</v>
      </c>
    </row>
    <row r="29">
      <c r="A29" s="52" t="s">
        <v>143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144</v>
      </c>
      <c r="C32" s="55">
        <v>46054.0</v>
      </c>
      <c r="D32" s="22">
        <v>48.0</v>
      </c>
      <c r="E32" s="56"/>
      <c r="F32" s="28"/>
    </row>
    <row r="33">
      <c r="A33" s="30" t="s">
        <v>113</v>
      </c>
      <c r="B33" s="31"/>
      <c r="C33" s="32"/>
      <c r="D33" s="24">
        <f>round(D32*10%,2)</f>
        <v>4.8</v>
      </c>
      <c r="E33" s="57"/>
      <c r="F33" s="28"/>
    </row>
    <row r="34">
      <c r="A34" s="30" t="s">
        <v>106</v>
      </c>
      <c r="B34" s="31"/>
      <c r="C34" s="32"/>
      <c r="D34" s="24">
        <f>round(D32*10%,2)</f>
        <v>4.8</v>
      </c>
      <c r="E34" s="57"/>
      <c r="F34" s="28"/>
    </row>
    <row r="35">
      <c r="A35" s="33" t="s">
        <v>9</v>
      </c>
      <c r="B35" s="31"/>
      <c r="C35" s="32"/>
      <c r="D35" s="39">
        <f>D32-D33+D34</f>
        <v>48</v>
      </c>
      <c r="E35" s="90">
        <v>26240.0</v>
      </c>
      <c r="F35" s="41">
        <f>round(D35*E35,0)</f>
        <v>1259520</v>
      </c>
    </row>
    <row r="36">
      <c r="A36" s="33" t="s">
        <v>26</v>
      </c>
      <c r="B36" s="31"/>
      <c r="C36" s="32"/>
      <c r="D36" s="39"/>
      <c r="E36" s="90"/>
      <c r="F36" s="41">
        <f>round(F35*10%,0)</f>
        <v>125952</v>
      </c>
    </row>
    <row r="37">
      <c r="A37" s="33" t="s">
        <v>16</v>
      </c>
      <c r="B37" s="31"/>
      <c r="C37" s="32"/>
      <c r="D37" s="39"/>
      <c r="E37" s="90"/>
      <c r="F37" s="41">
        <f>F35+F36</f>
        <v>1385472</v>
      </c>
    </row>
    <row r="43">
      <c r="A43" s="52" t="s">
        <v>143</v>
      </c>
    </row>
    <row r="44">
      <c r="A44" s="53"/>
      <c r="B44" s="53"/>
      <c r="C44" s="53"/>
      <c r="D44" s="53"/>
      <c r="E44" s="53"/>
      <c r="F44" s="53"/>
    </row>
    <row r="45">
      <c r="A45" s="9" t="s">
        <v>4</v>
      </c>
      <c r="B45" s="9" t="s">
        <v>5</v>
      </c>
      <c r="C45" s="9" t="s">
        <v>6</v>
      </c>
      <c r="D45" s="9" t="s">
        <v>7</v>
      </c>
      <c r="E45" s="9" t="s">
        <v>8</v>
      </c>
      <c r="F45" s="9" t="s">
        <v>9</v>
      </c>
    </row>
    <row r="46">
      <c r="A46" s="13">
        <v>1.0</v>
      </c>
      <c r="B46" s="54" t="s">
        <v>144</v>
      </c>
      <c r="C46" s="55">
        <v>46082.0</v>
      </c>
      <c r="D46" s="22">
        <v>48.0</v>
      </c>
      <c r="E46" s="56"/>
      <c r="F46" s="28"/>
    </row>
    <row r="47">
      <c r="A47" s="30" t="s">
        <v>113</v>
      </c>
      <c r="B47" s="31"/>
      <c r="C47" s="32"/>
      <c r="D47" s="24">
        <f>round(D46*10%,2)</f>
        <v>4.8</v>
      </c>
      <c r="E47" s="57"/>
      <c r="F47" s="28"/>
    </row>
    <row r="48">
      <c r="A48" s="30" t="s">
        <v>106</v>
      </c>
      <c r="B48" s="31"/>
      <c r="C48" s="32"/>
      <c r="D48" s="24">
        <f>round(D46*10%,2)</f>
        <v>4.8</v>
      </c>
      <c r="E48" s="57"/>
      <c r="F48" s="28"/>
    </row>
    <row r="49">
      <c r="A49" s="33" t="s">
        <v>9</v>
      </c>
      <c r="B49" s="31"/>
      <c r="C49" s="32"/>
      <c r="D49" s="39">
        <f>D46-D47+D48</f>
        <v>48</v>
      </c>
      <c r="E49" s="90">
        <v>26357.0</v>
      </c>
      <c r="F49" s="41">
        <f>round(D49*E49,0)</f>
        <v>1265136</v>
      </c>
    </row>
    <row r="50">
      <c r="A50" s="33" t="s">
        <v>26</v>
      </c>
      <c r="B50" s="31"/>
      <c r="C50" s="32"/>
      <c r="D50" s="39"/>
      <c r="E50" s="90"/>
      <c r="F50" s="41">
        <f>round(F49*10%,0)</f>
        <v>126514</v>
      </c>
    </row>
    <row r="51">
      <c r="A51" s="33" t="s">
        <v>16</v>
      </c>
      <c r="B51" s="31"/>
      <c r="C51" s="32"/>
      <c r="D51" s="39"/>
      <c r="E51" s="90"/>
      <c r="F51" s="41">
        <f>F49+F50</f>
        <v>1391650</v>
      </c>
    </row>
    <row r="52">
      <c r="A52" s="33" t="s">
        <v>150</v>
      </c>
      <c r="B52" s="31"/>
      <c r="C52" s="32"/>
      <c r="D52" s="39"/>
      <c r="E52" s="90"/>
      <c r="F52" s="41">
        <v>1.6625664E7</v>
      </c>
    </row>
    <row r="53">
      <c r="A53" s="33" t="s">
        <v>152</v>
      </c>
      <c r="B53" s="31"/>
      <c r="C53" s="32"/>
      <c r="D53" s="39"/>
      <c r="E53" s="90"/>
      <c r="F53" s="41">
        <f>F52-F51</f>
        <v>15234014</v>
      </c>
    </row>
    <row r="58">
      <c r="A58" s="52" t="s">
        <v>143</v>
      </c>
    </row>
    <row r="59">
      <c r="A59" s="53"/>
      <c r="B59" s="53"/>
      <c r="C59" s="53"/>
      <c r="D59" s="53"/>
      <c r="E59" s="53"/>
      <c r="F59" s="53"/>
    </row>
    <row r="60">
      <c r="A60" s="9" t="s">
        <v>4</v>
      </c>
      <c r="B60" s="9" t="s">
        <v>5</v>
      </c>
      <c r="C60" s="9" t="s">
        <v>6</v>
      </c>
      <c r="D60" s="9" t="s">
        <v>7</v>
      </c>
      <c r="E60" s="9" t="s">
        <v>8</v>
      </c>
      <c r="F60" s="9" t="s">
        <v>9</v>
      </c>
    </row>
    <row r="61">
      <c r="A61" s="13">
        <v>1.0</v>
      </c>
      <c r="B61" s="54" t="s">
        <v>144</v>
      </c>
      <c r="C61" s="55">
        <v>46113.0</v>
      </c>
      <c r="D61" s="22">
        <v>48.0</v>
      </c>
      <c r="E61" s="56"/>
      <c r="F61" s="28"/>
      <c r="H61" s="74"/>
      <c r="I61" s="74"/>
      <c r="J61" s="74"/>
      <c r="K61" s="74"/>
      <c r="L61" s="74"/>
      <c r="M61" s="74"/>
      <c r="N61" s="74"/>
    </row>
    <row r="62">
      <c r="A62" s="30" t="s">
        <v>113</v>
      </c>
      <c r="B62" s="31"/>
      <c r="C62" s="32"/>
      <c r="D62" s="24">
        <f>round(D61*10%,2)</f>
        <v>4.8</v>
      </c>
      <c r="E62" s="57"/>
      <c r="F62" s="28"/>
    </row>
    <row r="63">
      <c r="A63" s="30" t="s">
        <v>106</v>
      </c>
      <c r="B63" s="31"/>
      <c r="C63" s="32"/>
      <c r="D63" s="24">
        <f>round(D61*10%,2)</f>
        <v>4.8</v>
      </c>
      <c r="E63" s="57"/>
      <c r="F63" s="28"/>
    </row>
    <row r="64">
      <c r="A64" s="33" t="s">
        <v>9</v>
      </c>
      <c r="B64" s="31"/>
      <c r="C64" s="32"/>
      <c r="D64" s="39">
        <f>D61-D62+D63</f>
        <v>48</v>
      </c>
      <c r="E64" s="90">
        <v>26368.0</v>
      </c>
      <c r="F64" s="41">
        <f>round(D64*E64,0)</f>
        <v>1265664</v>
      </c>
    </row>
    <row r="65">
      <c r="A65" s="33" t="s">
        <v>26</v>
      </c>
      <c r="B65" s="31"/>
      <c r="C65" s="32"/>
      <c r="D65" s="39"/>
      <c r="E65" s="90"/>
      <c r="F65" s="41">
        <f>round(F64*10%,0)</f>
        <v>126566</v>
      </c>
    </row>
    <row r="66">
      <c r="A66" s="33" t="s">
        <v>16</v>
      </c>
      <c r="B66" s="31"/>
      <c r="C66" s="32"/>
      <c r="D66" s="39"/>
      <c r="E66" s="90"/>
      <c r="F66" s="41">
        <f>F64+F65</f>
        <v>1392230</v>
      </c>
    </row>
    <row r="67">
      <c r="A67" s="33" t="s">
        <v>150</v>
      </c>
      <c r="B67" s="31"/>
      <c r="C67" s="32"/>
      <c r="D67" s="39"/>
      <c r="E67" s="90"/>
      <c r="F67" s="41">
        <v>1.5234014E7</v>
      </c>
    </row>
    <row r="68">
      <c r="A68" s="33" t="s">
        <v>152</v>
      </c>
      <c r="B68" s="31"/>
      <c r="C68" s="32"/>
      <c r="D68" s="39"/>
      <c r="E68" s="90"/>
      <c r="F68" s="41">
        <f>F67-F66</f>
        <v>13841784</v>
      </c>
    </row>
    <row r="74">
      <c r="A74" s="52" t="s">
        <v>143</v>
      </c>
    </row>
    <row r="75">
      <c r="A75" s="53"/>
      <c r="B75" s="53"/>
      <c r="C75" s="53"/>
      <c r="D75" s="53"/>
      <c r="E75" s="53"/>
      <c r="F75" s="53"/>
    </row>
    <row r="76">
      <c r="A76" s="9" t="s">
        <v>4</v>
      </c>
      <c r="B76" s="9" t="s">
        <v>5</v>
      </c>
      <c r="C76" s="9" t="s">
        <v>6</v>
      </c>
      <c r="D76" s="9" t="s">
        <v>7</v>
      </c>
      <c r="E76" s="9" t="s">
        <v>8</v>
      </c>
      <c r="F76" s="9" t="s">
        <v>9</v>
      </c>
    </row>
    <row r="77">
      <c r="A77" s="13">
        <v>1.0</v>
      </c>
      <c r="B77" s="54" t="s">
        <v>144</v>
      </c>
      <c r="C77" s="55">
        <v>46143.0</v>
      </c>
      <c r="D77" s="22">
        <v>48.0</v>
      </c>
      <c r="E77" s="56"/>
      <c r="F77" s="28"/>
    </row>
    <row r="78">
      <c r="A78" s="30" t="s">
        <v>113</v>
      </c>
      <c r="B78" s="31"/>
      <c r="C78" s="32"/>
      <c r="D78" s="24">
        <f>round(D77*10%,2)</f>
        <v>4.8</v>
      </c>
      <c r="E78" s="57"/>
      <c r="F78" s="28"/>
    </row>
    <row r="79">
      <c r="A79" s="30" t="s">
        <v>106</v>
      </c>
      <c r="B79" s="31"/>
      <c r="C79" s="32"/>
      <c r="D79" s="24">
        <f>round(D77*10%,2)</f>
        <v>4.8</v>
      </c>
      <c r="E79" s="57"/>
      <c r="F79" s="28"/>
    </row>
    <row r="80">
      <c r="A80" s="33" t="s">
        <v>9</v>
      </c>
      <c r="B80" s="31"/>
      <c r="C80" s="32"/>
      <c r="D80" s="39">
        <f>D77-D78+D79</f>
        <v>48</v>
      </c>
      <c r="E80" s="90">
        <v>26395.0</v>
      </c>
      <c r="F80" s="41">
        <f>round(D80*E80,0)</f>
        <v>1266960</v>
      </c>
    </row>
    <row r="81">
      <c r="A81" s="33" t="s">
        <v>26</v>
      </c>
      <c r="B81" s="31"/>
      <c r="C81" s="32"/>
      <c r="D81" s="39"/>
      <c r="E81" s="90"/>
      <c r="F81" s="41">
        <f>round(F80*10%,0)</f>
        <v>126696</v>
      </c>
    </row>
    <row r="82">
      <c r="A82" s="33" t="s">
        <v>16</v>
      </c>
      <c r="B82" s="31"/>
      <c r="C82" s="32"/>
      <c r="D82" s="39"/>
      <c r="E82" s="90"/>
      <c r="F82" s="41">
        <f>F80+F81</f>
        <v>1393656</v>
      </c>
    </row>
    <row r="83">
      <c r="A83" s="33" t="s">
        <v>150</v>
      </c>
      <c r="B83" s="31"/>
      <c r="C83" s="32"/>
      <c r="D83" s="39"/>
      <c r="E83" s="90"/>
      <c r="F83" s="41">
        <v>1.3841784E7</v>
      </c>
    </row>
    <row r="84">
      <c r="A84" s="33" t="s">
        <v>152</v>
      </c>
      <c r="B84" s="31"/>
      <c r="C84" s="32"/>
      <c r="D84" s="39"/>
      <c r="E84" s="90"/>
      <c r="F84" s="41">
        <f>F83-F82</f>
        <v>12448128</v>
      </c>
    </row>
    <row r="86">
      <c r="I86" s="4" t="s">
        <v>156</v>
      </c>
    </row>
    <row r="87">
      <c r="I87" s="74"/>
      <c r="J87" s="74"/>
      <c r="K87" s="74"/>
      <c r="L87" s="74"/>
      <c r="M87" s="74"/>
      <c r="N87" s="74"/>
      <c r="O87" s="74"/>
    </row>
    <row r="88">
      <c r="I88" s="10" t="s">
        <v>4</v>
      </c>
      <c r="J88" s="10" t="s">
        <v>157</v>
      </c>
      <c r="K88" s="10" t="s">
        <v>158</v>
      </c>
      <c r="L88" s="10" t="s">
        <v>159</v>
      </c>
      <c r="M88" s="10" t="s">
        <v>160</v>
      </c>
      <c r="N88" s="10" t="s">
        <v>161</v>
      </c>
      <c r="O88" s="12" t="s">
        <v>162</v>
      </c>
    </row>
    <row r="89">
      <c r="A89" s="52" t="s">
        <v>143</v>
      </c>
      <c r="I89" s="16">
        <v>1.0</v>
      </c>
      <c r="J89" s="126" t="s">
        <v>163</v>
      </c>
      <c r="K89" s="126" t="s">
        <v>165</v>
      </c>
      <c r="L89" s="127" t="s">
        <v>166</v>
      </c>
      <c r="M89" s="44">
        <v>1.6625664E7</v>
      </c>
      <c r="N89" s="20">
        <v>46082.0</v>
      </c>
      <c r="O89" s="44">
        <v>1391650.0</v>
      </c>
    </row>
    <row r="90">
      <c r="A90" s="53"/>
      <c r="B90" s="53"/>
      <c r="C90" s="53"/>
      <c r="D90" s="53"/>
      <c r="E90" s="53"/>
      <c r="F90" s="53"/>
      <c r="I90" s="16">
        <v>2.0</v>
      </c>
      <c r="J90" s="128"/>
      <c r="K90" s="128"/>
      <c r="L90" s="128"/>
      <c r="M90" s="45">
        <f t="shared" ref="M90:M103" si="1">M89-O89</f>
        <v>15234014</v>
      </c>
      <c r="N90" s="20">
        <v>46113.0</v>
      </c>
      <c r="O90" s="44">
        <v>1392230.0</v>
      </c>
    </row>
    <row r="91">
      <c r="A91" s="9" t="s">
        <v>4</v>
      </c>
      <c r="B91" s="9" t="s">
        <v>5</v>
      </c>
      <c r="C91" s="9" t="s">
        <v>6</v>
      </c>
      <c r="D91" s="9" t="s">
        <v>7</v>
      </c>
      <c r="E91" s="9" t="s">
        <v>8</v>
      </c>
      <c r="F91" s="9" t="s">
        <v>9</v>
      </c>
      <c r="I91" s="16">
        <v>3.0</v>
      </c>
      <c r="J91" s="128"/>
      <c r="K91" s="128"/>
      <c r="L91" s="128"/>
      <c r="M91" s="45">
        <f t="shared" si="1"/>
        <v>13841784</v>
      </c>
      <c r="N91" s="20">
        <v>46143.0</v>
      </c>
      <c r="O91" s="44">
        <v>1393656.0</v>
      </c>
    </row>
    <row r="92">
      <c r="A92" s="13">
        <v>1.0</v>
      </c>
      <c r="B92" s="54" t="s">
        <v>144</v>
      </c>
      <c r="C92" s="55">
        <v>46174.0</v>
      </c>
      <c r="D92" s="22">
        <v>48.0</v>
      </c>
      <c r="E92" s="56"/>
      <c r="F92" s="28"/>
      <c r="I92" s="16">
        <v>4.0</v>
      </c>
      <c r="J92" s="128"/>
      <c r="K92" s="128"/>
      <c r="L92" s="128"/>
      <c r="M92" s="45">
        <f t="shared" si="1"/>
        <v>12448128</v>
      </c>
      <c r="N92" s="20">
        <v>46174.0</v>
      </c>
      <c r="O92" s="44">
        <v>1397405.0</v>
      </c>
    </row>
    <row r="93">
      <c r="A93" s="30" t="s">
        <v>113</v>
      </c>
      <c r="B93" s="31"/>
      <c r="C93" s="32"/>
      <c r="D93" s="24">
        <f>round(D92*10%,2)</f>
        <v>4.8</v>
      </c>
      <c r="E93" s="57"/>
      <c r="F93" s="28"/>
      <c r="I93" s="16">
        <v>5.0</v>
      </c>
      <c r="J93" s="128"/>
      <c r="K93" s="128"/>
      <c r="L93" s="128"/>
      <c r="M93" s="45">
        <f t="shared" si="1"/>
        <v>11050723</v>
      </c>
      <c r="N93" s="20">
        <v>46204.0</v>
      </c>
      <c r="O93" s="44">
        <v>1397880.0</v>
      </c>
    </row>
    <row r="94">
      <c r="A94" s="30" t="s">
        <v>106</v>
      </c>
      <c r="B94" s="31"/>
      <c r="C94" s="32"/>
      <c r="D94" s="24">
        <f>round(D92*10%,2)</f>
        <v>4.8</v>
      </c>
      <c r="E94" s="57"/>
      <c r="F94" s="28"/>
      <c r="I94" s="16">
        <v>6.0</v>
      </c>
      <c r="J94" s="128"/>
      <c r="K94" s="128"/>
      <c r="L94" s="128"/>
      <c r="M94" s="45">
        <f t="shared" si="1"/>
        <v>9652843</v>
      </c>
      <c r="N94" s="129"/>
      <c r="O94" s="45"/>
    </row>
    <row r="95">
      <c r="A95" s="33" t="s">
        <v>9</v>
      </c>
      <c r="B95" s="31"/>
      <c r="C95" s="32"/>
      <c r="D95" s="39">
        <f>D92-D93+D94</f>
        <v>48</v>
      </c>
      <c r="E95" s="90">
        <v>26466.0</v>
      </c>
      <c r="F95" s="41">
        <f>round(D95*E95,0)</f>
        <v>1270368</v>
      </c>
      <c r="I95" s="16">
        <v>7.0</v>
      </c>
      <c r="J95" s="128"/>
      <c r="K95" s="128"/>
      <c r="L95" s="128"/>
      <c r="M95" s="45">
        <f t="shared" si="1"/>
        <v>9652843</v>
      </c>
      <c r="N95" s="129"/>
      <c r="O95" s="45"/>
    </row>
    <row r="96">
      <c r="A96" s="33" t="s">
        <v>26</v>
      </c>
      <c r="B96" s="31"/>
      <c r="C96" s="32"/>
      <c r="D96" s="39"/>
      <c r="E96" s="90"/>
      <c r="F96" s="41">
        <f>round(F95*10%,0)</f>
        <v>127037</v>
      </c>
      <c r="I96" s="16">
        <v>8.0</v>
      </c>
      <c r="J96" s="16"/>
      <c r="K96" s="16"/>
      <c r="L96" s="16"/>
      <c r="M96" s="45">
        <f t="shared" si="1"/>
        <v>9652843</v>
      </c>
      <c r="N96" s="129"/>
      <c r="O96" s="45"/>
    </row>
    <row r="97">
      <c r="A97" s="33" t="s">
        <v>16</v>
      </c>
      <c r="B97" s="31"/>
      <c r="C97" s="32"/>
      <c r="D97" s="39"/>
      <c r="E97" s="90"/>
      <c r="F97" s="41">
        <f>F95+F96</f>
        <v>1397405</v>
      </c>
      <c r="I97" s="16">
        <v>9.0</v>
      </c>
      <c r="J97" s="128"/>
      <c r="K97" s="128"/>
      <c r="L97" s="128"/>
      <c r="M97" s="45">
        <f t="shared" si="1"/>
        <v>9652843</v>
      </c>
      <c r="N97" s="129"/>
      <c r="O97" s="45"/>
    </row>
    <row r="98">
      <c r="A98" s="33" t="s">
        <v>150</v>
      </c>
      <c r="B98" s="31"/>
      <c r="C98" s="32"/>
      <c r="D98" s="39"/>
      <c r="E98" s="90"/>
      <c r="F98" s="41">
        <v>1.2448128E7</v>
      </c>
      <c r="I98" s="16">
        <v>10.0</v>
      </c>
      <c r="J98" s="128"/>
      <c r="K98" s="128"/>
      <c r="L98" s="128"/>
      <c r="M98" s="45">
        <f t="shared" si="1"/>
        <v>9652843</v>
      </c>
      <c r="N98" s="130"/>
      <c r="O98" s="131"/>
    </row>
    <row r="99">
      <c r="A99" s="33" t="s">
        <v>152</v>
      </c>
      <c r="B99" s="31"/>
      <c r="C99" s="32"/>
      <c r="D99" s="39"/>
      <c r="E99" s="90"/>
      <c r="F99" s="41">
        <f>F98-F97</f>
        <v>11050723</v>
      </c>
      <c r="I99" s="16">
        <v>11.0</v>
      </c>
      <c r="J99" s="128"/>
      <c r="K99" s="128"/>
      <c r="L99" s="128"/>
      <c r="M99" s="45">
        <f t="shared" si="1"/>
        <v>9652843</v>
      </c>
      <c r="N99" s="130"/>
      <c r="O99" s="131"/>
    </row>
    <row r="100">
      <c r="I100" s="16">
        <v>12.0</v>
      </c>
      <c r="J100" s="128"/>
      <c r="K100" s="128"/>
      <c r="L100" s="128"/>
      <c r="M100" s="45">
        <f t="shared" si="1"/>
        <v>9652843</v>
      </c>
      <c r="N100" s="130"/>
      <c r="O100" s="131"/>
    </row>
    <row r="101">
      <c r="I101" s="16">
        <v>13.0</v>
      </c>
      <c r="J101" s="128"/>
      <c r="K101" s="128"/>
      <c r="L101" s="128"/>
      <c r="M101" s="45">
        <f t="shared" si="1"/>
        <v>9652843</v>
      </c>
      <c r="N101" s="130"/>
      <c r="O101" s="131"/>
    </row>
    <row r="102">
      <c r="I102" s="16">
        <v>14.0</v>
      </c>
      <c r="J102" s="128"/>
      <c r="K102" s="128"/>
      <c r="L102" s="128"/>
      <c r="M102" s="45">
        <f t="shared" si="1"/>
        <v>9652843</v>
      </c>
      <c r="N102" s="130"/>
      <c r="O102" s="131"/>
    </row>
    <row r="103">
      <c r="I103" s="16">
        <v>15.0</v>
      </c>
      <c r="J103" s="128"/>
      <c r="K103" s="128"/>
      <c r="L103" s="128"/>
      <c r="M103" s="45">
        <f t="shared" si="1"/>
        <v>9652843</v>
      </c>
      <c r="N103" s="130"/>
      <c r="O103" s="131"/>
    </row>
    <row r="105">
      <c r="A105" s="52" t="s">
        <v>143</v>
      </c>
    </row>
    <row r="106">
      <c r="A106" s="53"/>
      <c r="B106" s="53"/>
      <c r="C106" s="53"/>
      <c r="D106" s="53"/>
      <c r="E106" s="53"/>
      <c r="F106" s="53"/>
    </row>
    <row r="107">
      <c r="A107" s="9" t="s">
        <v>4</v>
      </c>
      <c r="B107" s="9" t="s">
        <v>5</v>
      </c>
      <c r="C107" s="9" t="s">
        <v>6</v>
      </c>
      <c r="D107" s="9" t="s">
        <v>7</v>
      </c>
      <c r="E107" s="9" t="s">
        <v>8</v>
      </c>
      <c r="F107" s="9" t="s">
        <v>9</v>
      </c>
    </row>
    <row r="108">
      <c r="A108" s="13">
        <v>1.0</v>
      </c>
      <c r="B108" s="54" t="s">
        <v>144</v>
      </c>
      <c r="C108" s="55">
        <v>46204.0</v>
      </c>
      <c r="D108" s="22">
        <v>48.0</v>
      </c>
      <c r="E108" s="56"/>
      <c r="F108" s="28"/>
    </row>
    <row r="109">
      <c r="A109" s="30" t="s">
        <v>113</v>
      </c>
      <c r="B109" s="31"/>
      <c r="C109" s="32"/>
      <c r="D109" s="24">
        <f>round(D108*10%,2)</f>
        <v>4.8</v>
      </c>
      <c r="E109" s="57"/>
      <c r="F109" s="28"/>
    </row>
    <row r="110">
      <c r="A110" s="30" t="s">
        <v>106</v>
      </c>
      <c r="B110" s="31"/>
      <c r="C110" s="32"/>
      <c r="D110" s="24">
        <f>round(D108*10%,2)</f>
        <v>4.8</v>
      </c>
      <c r="E110" s="57"/>
      <c r="F110" s="28"/>
    </row>
    <row r="111">
      <c r="A111" s="33" t="s">
        <v>9</v>
      </c>
      <c r="B111" s="31"/>
      <c r="C111" s="32"/>
      <c r="D111" s="39">
        <f>D108-D109+D110</f>
        <v>48</v>
      </c>
      <c r="E111" s="90">
        <v>26475.0</v>
      </c>
      <c r="F111" s="41">
        <f>round(D111*E111,0)</f>
        <v>1270800</v>
      </c>
    </row>
    <row r="112">
      <c r="A112" s="33" t="s">
        <v>26</v>
      </c>
      <c r="B112" s="31"/>
      <c r="C112" s="32"/>
      <c r="D112" s="39"/>
      <c r="E112" s="90"/>
      <c r="F112" s="41">
        <f>round(F111*10%,0)</f>
        <v>127080</v>
      </c>
    </row>
    <row r="113">
      <c r="A113" s="33" t="s">
        <v>16</v>
      </c>
      <c r="B113" s="31"/>
      <c r="C113" s="32"/>
      <c r="D113" s="39"/>
      <c r="E113" s="90"/>
      <c r="F113" s="41">
        <f>F111+F112</f>
        <v>1397880</v>
      </c>
    </row>
    <row r="114">
      <c r="A114" s="33" t="s">
        <v>150</v>
      </c>
      <c r="B114" s="31"/>
      <c r="C114" s="32"/>
      <c r="D114" s="39"/>
      <c r="E114" s="90"/>
      <c r="F114" s="41">
        <v>1.1050723E7</v>
      </c>
    </row>
    <row r="115">
      <c r="A115" s="33" t="s">
        <v>152</v>
      </c>
      <c r="B115" s="31"/>
      <c r="C115" s="32"/>
      <c r="D115" s="39"/>
      <c r="E115" s="90"/>
      <c r="F115" s="41">
        <f>F114-F113</f>
        <v>9652843</v>
      </c>
    </row>
  </sheetData>
  <mergeCells count="59">
    <mergeCell ref="A84:C84"/>
    <mergeCell ref="A89:F89"/>
    <mergeCell ref="A93:C93"/>
    <mergeCell ref="A94:C94"/>
    <mergeCell ref="A95:C95"/>
    <mergeCell ref="A96:C96"/>
    <mergeCell ref="A97:C97"/>
    <mergeCell ref="A98:C98"/>
    <mergeCell ref="A99:C99"/>
    <mergeCell ref="A105:F105"/>
    <mergeCell ref="A109:C109"/>
    <mergeCell ref="A110:C110"/>
    <mergeCell ref="A111:C111"/>
    <mergeCell ref="A112:C112"/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29:F29"/>
    <mergeCell ref="A33:C33"/>
    <mergeCell ref="A34:C34"/>
    <mergeCell ref="A35:C35"/>
    <mergeCell ref="A36:C36"/>
    <mergeCell ref="A37:C37"/>
    <mergeCell ref="A43:F43"/>
    <mergeCell ref="A47:C47"/>
    <mergeCell ref="A48:C48"/>
    <mergeCell ref="A49:C49"/>
    <mergeCell ref="A50:C50"/>
    <mergeCell ref="A51:C51"/>
    <mergeCell ref="A52:C52"/>
    <mergeCell ref="A53:C53"/>
    <mergeCell ref="A58:F58"/>
    <mergeCell ref="A62:C62"/>
    <mergeCell ref="A63:C63"/>
    <mergeCell ref="A64:C64"/>
    <mergeCell ref="A65:C65"/>
    <mergeCell ref="A66:C66"/>
    <mergeCell ref="A67:C67"/>
    <mergeCell ref="A68:C68"/>
    <mergeCell ref="A74:F74"/>
    <mergeCell ref="A78:C78"/>
    <mergeCell ref="A79:C79"/>
    <mergeCell ref="A80:C80"/>
    <mergeCell ref="A81:C81"/>
    <mergeCell ref="A82:C82"/>
    <mergeCell ref="A83:C83"/>
    <mergeCell ref="I86:O86"/>
    <mergeCell ref="A113:C113"/>
    <mergeCell ref="A114:C114"/>
    <mergeCell ref="A115:C115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31.0"/>
    <col customWidth="1" min="3" max="3" width="35.63"/>
    <col customWidth="1" min="4" max="4" width="35.75"/>
    <col customWidth="1" min="5" max="5" width="25.63"/>
    <col customWidth="1" min="6" max="6" width="18.63"/>
  </cols>
  <sheetData>
    <row r="1">
      <c r="A1" s="52" t="s">
        <v>145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146</v>
      </c>
      <c r="C4" s="55">
        <v>45962.0</v>
      </c>
      <c r="D4" s="22">
        <v>1887.87</v>
      </c>
      <c r="E4" s="56"/>
      <c r="F4" s="28"/>
    </row>
    <row r="5">
      <c r="A5" s="30" t="s">
        <v>113</v>
      </c>
      <c r="B5" s="31"/>
      <c r="C5" s="32"/>
      <c r="D5" s="24">
        <f>round(D4*10%,2)</f>
        <v>188.79</v>
      </c>
      <c r="E5" s="57"/>
      <c r="F5" s="28"/>
    </row>
    <row r="6">
      <c r="A6" s="30" t="s">
        <v>106</v>
      </c>
      <c r="B6" s="31"/>
      <c r="C6" s="32"/>
      <c r="D6" s="24">
        <f>round(D4*10%,2)</f>
        <v>188.79</v>
      </c>
      <c r="E6" s="57"/>
      <c r="F6" s="28"/>
    </row>
    <row r="7">
      <c r="A7" s="33" t="s">
        <v>9</v>
      </c>
      <c r="B7" s="31"/>
      <c r="C7" s="32"/>
      <c r="D7" s="39">
        <f>D4-D5+D6</f>
        <v>1887.87</v>
      </c>
      <c r="E7" s="90">
        <v>26412.0</v>
      </c>
      <c r="F7" s="41">
        <f>round(D7*E7,0)</f>
        <v>49862422</v>
      </c>
    </row>
    <row r="8">
      <c r="A8" s="33" t="s">
        <v>26</v>
      </c>
      <c r="B8" s="31"/>
      <c r="C8" s="32"/>
      <c r="D8" s="39"/>
      <c r="E8" s="90"/>
      <c r="F8" s="41">
        <f>round(F7*10%,0)</f>
        <v>4986242</v>
      </c>
    </row>
    <row r="9">
      <c r="A9" s="33" t="s">
        <v>16</v>
      </c>
      <c r="B9" s="31"/>
      <c r="C9" s="32"/>
      <c r="D9" s="39"/>
      <c r="E9" s="90"/>
      <c r="F9" s="41">
        <f>F7+F8</f>
        <v>54848664</v>
      </c>
    </row>
    <row r="15">
      <c r="A15" s="52" t="s">
        <v>145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146</v>
      </c>
      <c r="C18" s="55">
        <v>45992.0</v>
      </c>
      <c r="D18" s="22">
        <v>1917.15</v>
      </c>
      <c r="E18" s="56"/>
      <c r="F18" s="28"/>
    </row>
    <row r="19">
      <c r="A19" s="30" t="s">
        <v>113</v>
      </c>
      <c r="B19" s="31"/>
      <c r="C19" s="32"/>
      <c r="D19" s="24">
        <f>round(D18*10%,2)</f>
        <v>191.72</v>
      </c>
      <c r="E19" s="57"/>
      <c r="F19" s="28"/>
    </row>
    <row r="20">
      <c r="A20" s="30" t="s">
        <v>106</v>
      </c>
      <c r="B20" s="31"/>
      <c r="C20" s="32"/>
      <c r="D20" s="24">
        <f>round(D18*10%,2)</f>
        <v>191.72</v>
      </c>
      <c r="E20" s="57"/>
      <c r="F20" s="28"/>
    </row>
    <row r="21">
      <c r="A21" s="33" t="s">
        <v>9</v>
      </c>
      <c r="B21" s="31"/>
      <c r="C21" s="32"/>
      <c r="D21" s="39">
        <f>D18-D19+D20</f>
        <v>1917.15</v>
      </c>
      <c r="E21" s="90">
        <v>26377.0</v>
      </c>
      <c r="F21" s="41">
        <f>round(D21*E21,0)</f>
        <v>50568666</v>
      </c>
    </row>
    <row r="22">
      <c r="A22" s="33" t="s">
        <v>26</v>
      </c>
      <c r="B22" s="31"/>
      <c r="C22" s="32"/>
      <c r="D22" s="39"/>
      <c r="E22" s="90"/>
      <c r="F22" s="41">
        <f>round(F21*10%,0)</f>
        <v>5056867</v>
      </c>
    </row>
    <row r="23">
      <c r="A23" s="33" t="s">
        <v>16</v>
      </c>
      <c r="B23" s="31"/>
      <c r="C23" s="32"/>
      <c r="D23" s="39"/>
      <c r="E23" s="90"/>
      <c r="F23" s="41">
        <f>F21+F22</f>
        <v>55625533</v>
      </c>
    </row>
    <row r="29">
      <c r="A29" s="52" t="s">
        <v>145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146</v>
      </c>
      <c r="C32" s="55">
        <v>46023.0</v>
      </c>
      <c r="D32" s="22">
        <v>4314.05</v>
      </c>
      <c r="E32" s="56"/>
      <c r="F32" s="28"/>
    </row>
    <row r="33">
      <c r="A33" s="30" t="s">
        <v>113</v>
      </c>
      <c r="B33" s="31"/>
      <c r="C33" s="32"/>
      <c r="D33" s="24">
        <f>round(D32*10%,2)</f>
        <v>431.41</v>
      </c>
      <c r="E33" s="57"/>
      <c r="F33" s="28"/>
    </row>
    <row r="34">
      <c r="A34" s="30" t="s">
        <v>106</v>
      </c>
      <c r="B34" s="31"/>
      <c r="C34" s="32"/>
      <c r="D34" s="24">
        <f>round(D32*10%,2)</f>
        <v>431.41</v>
      </c>
      <c r="E34" s="57"/>
      <c r="F34" s="28"/>
    </row>
    <row r="35">
      <c r="A35" s="33" t="s">
        <v>9</v>
      </c>
      <c r="B35" s="31"/>
      <c r="C35" s="32"/>
      <c r="D35" s="39">
        <f>D32-D33+D34</f>
        <v>4314.05</v>
      </c>
      <c r="E35" s="90">
        <v>26145.0</v>
      </c>
      <c r="F35" s="41">
        <f>round(D35*E35,0)</f>
        <v>112790837</v>
      </c>
    </row>
    <row r="36">
      <c r="A36" s="33" t="s">
        <v>26</v>
      </c>
      <c r="B36" s="31"/>
      <c r="C36" s="32"/>
      <c r="D36" s="39"/>
      <c r="E36" s="90"/>
      <c r="F36" s="41">
        <f>round(F35*10%,0)</f>
        <v>11279084</v>
      </c>
    </row>
    <row r="37">
      <c r="A37" s="33" t="s">
        <v>16</v>
      </c>
      <c r="B37" s="31"/>
      <c r="C37" s="32"/>
      <c r="D37" s="39"/>
      <c r="E37" s="90"/>
      <c r="F37" s="41">
        <f>F35+F36</f>
        <v>124069921</v>
      </c>
    </row>
    <row r="42">
      <c r="A42" s="52" t="s">
        <v>145</v>
      </c>
    </row>
    <row r="43">
      <c r="A43" s="53"/>
      <c r="B43" s="53"/>
      <c r="C43" s="53"/>
      <c r="D43" s="53"/>
      <c r="E43" s="53"/>
      <c r="F43" s="53"/>
    </row>
    <row r="44">
      <c r="A44" s="9" t="s">
        <v>4</v>
      </c>
      <c r="B44" s="9" t="s">
        <v>5</v>
      </c>
      <c r="C44" s="9" t="s">
        <v>6</v>
      </c>
      <c r="D44" s="9" t="s">
        <v>7</v>
      </c>
      <c r="E44" s="9" t="s">
        <v>8</v>
      </c>
      <c r="F44" s="9" t="s">
        <v>9</v>
      </c>
    </row>
    <row r="45">
      <c r="A45" s="13">
        <v>1.0</v>
      </c>
      <c r="B45" s="54" t="s">
        <v>146</v>
      </c>
      <c r="C45" s="55">
        <v>46054.0</v>
      </c>
      <c r="D45" s="22">
        <v>4344.75</v>
      </c>
      <c r="E45" s="56"/>
      <c r="F45" s="28"/>
    </row>
    <row r="46">
      <c r="A46" s="30" t="s">
        <v>113</v>
      </c>
      <c r="B46" s="31"/>
      <c r="C46" s="32"/>
      <c r="D46" s="24">
        <f>round(D45*10%,2)</f>
        <v>434.48</v>
      </c>
      <c r="E46" s="57"/>
      <c r="F46" s="28"/>
    </row>
    <row r="47">
      <c r="A47" s="30" t="s">
        <v>106</v>
      </c>
      <c r="B47" s="31"/>
      <c r="C47" s="32"/>
      <c r="D47" s="24">
        <f>round(D45*10%,2)</f>
        <v>434.48</v>
      </c>
      <c r="E47" s="57"/>
      <c r="F47" s="28"/>
    </row>
    <row r="48">
      <c r="A48" s="33" t="s">
        <v>9</v>
      </c>
      <c r="B48" s="31"/>
      <c r="C48" s="32"/>
      <c r="D48" s="39">
        <f>D45-D46+D47</f>
        <v>4344.75</v>
      </c>
      <c r="E48" s="90">
        <v>26240.0</v>
      </c>
      <c r="F48" s="41">
        <f>round(D48*E48,0)</f>
        <v>114006240</v>
      </c>
    </row>
    <row r="49">
      <c r="A49" s="33" t="s">
        <v>26</v>
      </c>
      <c r="B49" s="31"/>
      <c r="C49" s="32"/>
      <c r="D49" s="39"/>
      <c r="E49" s="90"/>
      <c r="F49" s="41">
        <f>round(F48*10%,0)</f>
        <v>11400624</v>
      </c>
    </row>
    <row r="50">
      <c r="A50" s="33" t="s">
        <v>16</v>
      </c>
      <c r="B50" s="31"/>
      <c r="C50" s="32"/>
      <c r="D50" s="39"/>
      <c r="E50" s="90"/>
      <c r="F50" s="41">
        <f>F48+F49</f>
        <v>125406864</v>
      </c>
    </row>
    <row r="55">
      <c r="A55" s="52" t="s">
        <v>153</v>
      </c>
      <c r="E55" s="52"/>
      <c r="F55" s="52"/>
    </row>
    <row r="57">
      <c r="A57" s="9" t="s">
        <v>4</v>
      </c>
      <c r="B57" s="9" t="s">
        <v>5</v>
      </c>
      <c r="C57" s="121" t="s">
        <v>146</v>
      </c>
      <c r="D57" s="11" t="s">
        <v>154</v>
      </c>
    </row>
    <row r="58">
      <c r="A58" s="13">
        <v>1.0</v>
      </c>
      <c r="B58" s="122" t="s">
        <v>7</v>
      </c>
      <c r="C58" s="22">
        <v>1676.27</v>
      </c>
      <c r="D58" s="22">
        <v>2048.84</v>
      </c>
    </row>
    <row r="59">
      <c r="A59" s="13">
        <v>2.0</v>
      </c>
      <c r="B59" s="30" t="s">
        <v>113</v>
      </c>
      <c r="C59" s="24">
        <f t="shared" ref="C59:D59" si="1">round(C58*10%,2)</f>
        <v>167.63</v>
      </c>
      <c r="D59" s="24">
        <f t="shared" si="1"/>
        <v>204.88</v>
      </c>
    </row>
    <row r="60">
      <c r="A60" s="13">
        <v>3.0</v>
      </c>
      <c r="B60" s="30" t="s">
        <v>106</v>
      </c>
      <c r="C60" s="24">
        <f t="shared" ref="C60:D60" si="2">round(C58*10%,2)</f>
        <v>167.63</v>
      </c>
      <c r="D60" s="24">
        <f t="shared" si="2"/>
        <v>204.88</v>
      </c>
    </row>
    <row r="61">
      <c r="A61" s="13">
        <v>4.0</v>
      </c>
      <c r="B61" s="123" t="s">
        <v>22</v>
      </c>
      <c r="C61" s="24">
        <f t="shared" ref="C61:D61" si="3">C58-C59+C60</f>
        <v>1676.27</v>
      </c>
      <c r="D61" s="24">
        <f t="shared" si="3"/>
        <v>2048.84</v>
      </c>
    </row>
    <row r="62">
      <c r="A62" s="13">
        <v>5.0</v>
      </c>
      <c r="B62" s="123" t="s">
        <v>8</v>
      </c>
      <c r="C62" s="124">
        <v>26357.0</v>
      </c>
      <c r="D62" s="124">
        <f>C62</f>
        <v>26357</v>
      </c>
    </row>
    <row r="63">
      <c r="A63" s="13">
        <v>6.0</v>
      </c>
      <c r="B63" s="33" t="s">
        <v>9</v>
      </c>
      <c r="C63" s="41">
        <f t="shared" ref="C63:D63" si="4">round(C61*C62,0)</f>
        <v>44181448</v>
      </c>
      <c r="D63" s="41">
        <f t="shared" si="4"/>
        <v>54001276</v>
      </c>
    </row>
    <row r="64">
      <c r="A64" s="13">
        <v>7.0</v>
      </c>
      <c r="B64" s="33" t="s">
        <v>26</v>
      </c>
      <c r="C64" s="125">
        <f t="shared" ref="C64:D64" si="5">round(C63*10%,0)</f>
        <v>4418145</v>
      </c>
      <c r="D64" s="125">
        <f t="shared" si="5"/>
        <v>5400128</v>
      </c>
    </row>
    <row r="65">
      <c r="A65" s="13">
        <v>8.0</v>
      </c>
      <c r="B65" s="33" t="s">
        <v>16</v>
      </c>
      <c r="C65" s="125">
        <f t="shared" ref="C65:D65" si="6">C63+C64</f>
        <v>48599593</v>
      </c>
      <c r="D65" s="125">
        <f t="shared" si="6"/>
        <v>59401404</v>
      </c>
    </row>
    <row r="70">
      <c r="A70" s="52" t="s">
        <v>155</v>
      </c>
    </row>
    <row r="72">
      <c r="A72" s="9" t="s">
        <v>4</v>
      </c>
      <c r="B72" s="9" t="s">
        <v>5</v>
      </c>
      <c r="C72" s="121" t="s">
        <v>146</v>
      </c>
      <c r="D72" s="11" t="s">
        <v>154</v>
      </c>
      <c r="E72" s="11" t="s">
        <v>22</v>
      </c>
    </row>
    <row r="73">
      <c r="A73" s="13">
        <v>1.0</v>
      </c>
      <c r="B73" s="122" t="s">
        <v>7</v>
      </c>
      <c r="C73" s="22">
        <v>845.27</v>
      </c>
      <c r="D73" s="22">
        <v>1114.16</v>
      </c>
      <c r="E73" s="22"/>
    </row>
    <row r="74">
      <c r="A74" s="13">
        <v>2.0</v>
      </c>
      <c r="B74" s="30" t="s">
        <v>113</v>
      </c>
      <c r="C74" s="24">
        <f t="shared" ref="C74:D74" si="7">round(C73*10%,2)</f>
        <v>84.53</v>
      </c>
      <c r="D74" s="24">
        <f t="shared" si="7"/>
        <v>111.42</v>
      </c>
      <c r="E74" s="24"/>
    </row>
    <row r="75">
      <c r="A75" s="13">
        <v>3.0</v>
      </c>
      <c r="B75" s="30" t="s">
        <v>106</v>
      </c>
      <c r="C75" s="24">
        <f t="shared" ref="C75:D75" si="8">round(C73*10%,2)</f>
        <v>84.53</v>
      </c>
      <c r="D75" s="24">
        <f t="shared" si="8"/>
        <v>111.42</v>
      </c>
      <c r="E75" s="24"/>
    </row>
    <row r="76">
      <c r="A76" s="13">
        <v>4.0</v>
      </c>
      <c r="B76" s="123" t="s">
        <v>22</v>
      </c>
      <c r="C76" s="24">
        <f t="shared" ref="C76:D76" si="9">C73-C74+C75</f>
        <v>845.27</v>
      </c>
      <c r="D76" s="24">
        <f t="shared" si="9"/>
        <v>1114.16</v>
      </c>
      <c r="E76" s="24"/>
    </row>
    <row r="77">
      <c r="A77" s="13">
        <v>5.0</v>
      </c>
      <c r="B77" s="123" t="s">
        <v>8</v>
      </c>
      <c r="C77" s="124">
        <v>26368.0</v>
      </c>
      <c r="D77" s="124">
        <f>C77</f>
        <v>26368</v>
      </c>
      <c r="E77" s="124"/>
    </row>
    <row r="78">
      <c r="A78" s="13">
        <v>6.0</v>
      </c>
      <c r="B78" s="33" t="s">
        <v>9</v>
      </c>
      <c r="C78" s="41">
        <f t="shared" ref="C78:D78" si="10">round(C76*C77,0)</f>
        <v>22288079</v>
      </c>
      <c r="D78" s="41">
        <f t="shared" si="10"/>
        <v>29378171</v>
      </c>
      <c r="E78" s="41">
        <f>C78+D78</f>
        <v>51666250</v>
      </c>
    </row>
    <row r="79">
      <c r="A79" s="13">
        <v>7.0</v>
      </c>
      <c r="B79" s="33" t="s">
        <v>26</v>
      </c>
      <c r="C79" s="9"/>
      <c r="D79" s="125"/>
      <c r="E79" s="125">
        <f>round(E78*10%,0)</f>
        <v>5166625</v>
      </c>
    </row>
    <row r="80">
      <c r="A80" s="13">
        <v>8.0</v>
      </c>
      <c r="B80" s="33" t="s">
        <v>16</v>
      </c>
      <c r="C80" s="9"/>
      <c r="D80" s="125"/>
      <c r="E80" s="125">
        <f>E78+E79</f>
        <v>56832875</v>
      </c>
    </row>
    <row r="86">
      <c r="A86" s="52" t="s">
        <v>164</v>
      </c>
    </row>
    <row r="88">
      <c r="A88" s="9" t="s">
        <v>4</v>
      </c>
      <c r="B88" s="9" t="s">
        <v>5</v>
      </c>
      <c r="C88" s="121" t="s">
        <v>146</v>
      </c>
      <c r="D88" s="11" t="s">
        <v>154</v>
      </c>
      <c r="E88" s="11" t="s">
        <v>22</v>
      </c>
    </row>
    <row r="89">
      <c r="A89" s="13">
        <v>1.0</v>
      </c>
      <c r="B89" s="122" t="s">
        <v>7</v>
      </c>
      <c r="C89" s="22">
        <v>835.19</v>
      </c>
      <c r="D89" s="22">
        <v>1169.2</v>
      </c>
      <c r="E89" s="22"/>
    </row>
    <row r="90">
      <c r="A90" s="13">
        <v>2.0</v>
      </c>
      <c r="B90" s="30" t="s">
        <v>113</v>
      </c>
      <c r="C90" s="24">
        <f t="shared" ref="C90:D90" si="11">round(C89*10%,2)</f>
        <v>83.52</v>
      </c>
      <c r="D90" s="24">
        <f t="shared" si="11"/>
        <v>116.92</v>
      </c>
      <c r="E90" s="24"/>
    </row>
    <row r="91">
      <c r="A91" s="13">
        <v>3.0</v>
      </c>
      <c r="B91" s="30" t="s">
        <v>106</v>
      </c>
      <c r="C91" s="24">
        <f t="shared" ref="C91:D91" si="12">round(C89*10%,2)</f>
        <v>83.52</v>
      </c>
      <c r="D91" s="24">
        <f t="shared" si="12"/>
        <v>116.92</v>
      </c>
      <c r="E91" s="24"/>
    </row>
    <row r="92">
      <c r="A92" s="13">
        <v>4.0</v>
      </c>
      <c r="B92" s="123" t="s">
        <v>22</v>
      </c>
      <c r="C92" s="24">
        <f t="shared" ref="C92:D92" si="13">C89-C90+C91</f>
        <v>835.19</v>
      </c>
      <c r="D92" s="24">
        <f t="shared" si="13"/>
        <v>1169.2</v>
      </c>
      <c r="E92" s="24"/>
    </row>
    <row r="93">
      <c r="A93" s="13">
        <v>5.0</v>
      </c>
      <c r="B93" s="123" t="s">
        <v>8</v>
      </c>
      <c r="C93" s="124">
        <v>26395.0</v>
      </c>
      <c r="D93" s="124">
        <f>C93</f>
        <v>26395</v>
      </c>
      <c r="E93" s="124"/>
    </row>
    <row r="94">
      <c r="A94" s="13">
        <v>6.0</v>
      </c>
      <c r="B94" s="33" t="s">
        <v>9</v>
      </c>
      <c r="C94" s="41">
        <f t="shared" ref="C94:D94" si="14">round(C92*C93,0)</f>
        <v>22044840</v>
      </c>
      <c r="D94" s="41">
        <f t="shared" si="14"/>
        <v>30861034</v>
      </c>
      <c r="E94" s="41">
        <f>C94+D94</f>
        <v>52905874</v>
      </c>
    </row>
    <row r="95">
      <c r="A95" s="13">
        <v>7.0</v>
      </c>
      <c r="B95" s="33" t="s">
        <v>26</v>
      </c>
      <c r="C95" s="9"/>
      <c r="D95" s="125"/>
      <c r="E95" s="125">
        <f>round(E94*10%,0)</f>
        <v>5290587</v>
      </c>
    </row>
    <row r="96">
      <c r="A96" s="13">
        <v>8.0</v>
      </c>
      <c r="B96" s="33" t="s">
        <v>16</v>
      </c>
      <c r="C96" s="9"/>
      <c r="D96" s="125"/>
      <c r="E96" s="125">
        <f>E94+E95</f>
        <v>58196461</v>
      </c>
    </row>
    <row r="101">
      <c r="A101" s="52" t="s">
        <v>167</v>
      </c>
    </row>
    <row r="103">
      <c r="A103" s="9" t="s">
        <v>4</v>
      </c>
      <c r="B103" s="9" t="s">
        <v>5</v>
      </c>
      <c r="C103" s="121" t="s">
        <v>146</v>
      </c>
      <c r="D103" s="11" t="s">
        <v>154</v>
      </c>
      <c r="E103" s="11" t="s">
        <v>22</v>
      </c>
    </row>
    <row r="104">
      <c r="A104" s="13">
        <v>1.0</v>
      </c>
      <c r="B104" s="122" t="s">
        <v>7</v>
      </c>
      <c r="C104" s="22">
        <v>839.47</v>
      </c>
      <c r="D104" s="22">
        <v>1448.11</v>
      </c>
      <c r="E104" s="22"/>
    </row>
    <row r="105">
      <c r="A105" s="13">
        <v>2.0</v>
      </c>
      <c r="B105" s="30" t="s">
        <v>113</v>
      </c>
      <c r="C105" s="24">
        <f t="shared" ref="C105:D105" si="15">round(C104*10%,2)</f>
        <v>83.95</v>
      </c>
      <c r="D105" s="24">
        <f t="shared" si="15"/>
        <v>144.81</v>
      </c>
      <c r="E105" s="24"/>
    </row>
    <row r="106">
      <c r="A106" s="13">
        <v>3.0</v>
      </c>
      <c r="B106" s="30" t="s">
        <v>106</v>
      </c>
      <c r="C106" s="24">
        <f t="shared" ref="C106:D106" si="16">round(C104*10%,2)</f>
        <v>83.95</v>
      </c>
      <c r="D106" s="24">
        <f t="shared" si="16"/>
        <v>144.81</v>
      </c>
      <c r="E106" s="24"/>
    </row>
    <row r="107">
      <c r="A107" s="13">
        <v>4.0</v>
      </c>
      <c r="B107" s="123" t="s">
        <v>22</v>
      </c>
      <c r="C107" s="24">
        <f t="shared" ref="C107:D107" si="17">C104-C105+C106</f>
        <v>839.47</v>
      </c>
      <c r="D107" s="24">
        <f t="shared" si="17"/>
        <v>1448.11</v>
      </c>
      <c r="E107" s="24"/>
    </row>
    <row r="108">
      <c r="A108" s="13">
        <v>5.0</v>
      </c>
      <c r="B108" s="123" t="s">
        <v>8</v>
      </c>
      <c r="C108" s="124">
        <v>26466.0</v>
      </c>
      <c r="D108" s="124">
        <f>C108</f>
        <v>26466</v>
      </c>
      <c r="E108" s="124"/>
    </row>
    <row r="109">
      <c r="A109" s="13">
        <v>6.0</v>
      </c>
      <c r="B109" s="33" t="s">
        <v>9</v>
      </c>
      <c r="C109" s="41">
        <f t="shared" ref="C109:D109" si="18">round(C107*C108,0)</f>
        <v>22217413</v>
      </c>
      <c r="D109" s="41">
        <f t="shared" si="18"/>
        <v>38325679</v>
      </c>
      <c r="E109" s="41">
        <f>C109+D109</f>
        <v>60543092</v>
      </c>
    </row>
    <row r="110">
      <c r="A110" s="13">
        <v>7.0</v>
      </c>
      <c r="B110" s="33" t="s">
        <v>26</v>
      </c>
      <c r="C110" s="9"/>
      <c r="D110" s="125"/>
      <c r="E110" s="125">
        <f>round(E109*10%,0)</f>
        <v>6054309</v>
      </c>
    </row>
    <row r="111">
      <c r="A111" s="13">
        <v>8.0</v>
      </c>
      <c r="B111" s="33" t="s">
        <v>16</v>
      </c>
      <c r="C111" s="9"/>
      <c r="D111" s="125"/>
      <c r="E111" s="125">
        <f>E109+E110</f>
        <v>66597401</v>
      </c>
    </row>
    <row r="117">
      <c r="A117" s="52" t="s">
        <v>168</v>
      </c>
    </row>
    <row r="119">
      <c r="A119" s="9" t="s">
        <v>4</v>
      </c>
      <c r="B119" s="9" t="s">
        <v>5</v>
      </c>
      <c r="C119" s="121" t="s">
        <v>146</v>
      </c>
      <c r="D119" s="11" t="s">
        <v>154</v>
      </c>
      <c r="E119" s="11" t="s">
        <v>22</v>
      </c>
    </row>
    <row r="120">
      <c r="A120" s="13">
        <v>1.0</v>
      </c>
      <c r="B120" s="122" t="s">
        <v>7</v>
      </c>
      <c r="C120" s="22">
        <v>841.99</v>
      </c>
      <c r="D120" s="22">
        <v>1542.81</v>
      </c>
      <c r="E120" s="22"/>
    </row>
    <row r="121">
      <c r="A121" s="13">
        <v>2.0</v>
      </c>
      <c r="B121" s="30" t="s">
        <v>113</v>
      </c>
      <c r="C121" s="24">
        <f t="shared" ref="C121:D121" si="19">round(C120*10%,2)</f>
        <v>84.2</v>
      </c>
      <c r="D121" s="24">
        <f t="shared" si="19"/>
        <v>154.28</v>
      </c>
      <c r="E121" s="24"/>
    </row>
    <row r="122">
      <c r="A122" s="13">
        <v>3.0</v>
      </c>
      <c r="B122" s="30" t="s">
        <v>106</v>
      </c>
      <c r="C122" s="24">
        <f t="shared" ref="C122:D122" si="20">round(C120*10%,2)</f>
        <v>84.2</v>
      </c>
      <c r="D122" s="24">
        <f t="shared" si="20"/>
        <v>154.28</v>
      </c>
      <c r="E122" s="24"/>
    </row>
    <row r="123">
      <c r="A123" s="13">
        <v>4.0</v>
      </c>
      <c r="B123" s="123" t="s">
        <v>22</v>
      </c>
      <c r="C123" s="24">
        <f t="shared" ref="C123:D123" si="21">C120-C121+C122</f>
        <v>841.99</v>
      </c>
      <c r="D123" s="24">
        <f t="shared" si="21"/>
        <v>1542.81</v>
      </c>
      <c r="E123" s="24"/>
    </row>
    <row r="124">
      <c r="A124" s="13">
        <v>5.0</v>
      </c>
      <c r="B124" s="123" t="s">
        <v>8</v>
      </c>
      <c r="C124" s="124">
        <v>26475.0</v>
      </c>
      <c r="D124" s="124">
        <f>C124</f>
        <v>26475</v>
      </c>
      <c r="E124" s="124"/>
    </row>
    <row r="125">
      <c r="A125" s="13">
        <v>6.0</v>
      </c>
      <c r="B125" s="33" t="s">
        <v>9</v>
      </c>
      <c r="C125" s="41">
        <f t="shared" ref="C125:D125" si="22">round(C123*C124,0)</f>
        <v>22291685</v>
      </c>
      <c r="D125" s="41">
        <f t="shared" si="22"/>
        <v>40845895</v>
      </c>
      <c r="E125" s="41">
        <f>C125+D125</f>
        <v>63137580</v>
      </c>
    </row>
    <row r="126">
      <c r="A126" s="13">
        <v>7.0</v>
      </c>
      <c r="B126" s="33" t="s">
        <v>26</v>
      </c>
      <c r="C126" s="9"/>
      <c r="D126" s="125"/>
      <c r="E126" s="125">
        <f>round(E125*10%,0)</f>
        <v>6313758</v>
      </c>
    </row>
    <row r="127">
      <c r="A127" s="13">
        <v>8.0</v>
      </c>
      <c r="B127" s="33" t="s">
        <v>16</v>
      </c>
      <c r="C127" s="9"/>
      <c r="D127" s="125"/>
      <c r="E127" s="125">
        <f>E125+E126</f>
        <v>69451338</v>
      </c>
    </row>
  </sheetData>
  <mergeCells count="29"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29:F29"/>
    <mergeCell ref="A33:C33"/>
    <mergeCell ref="A48:C48"/>
    <mergeCell ref="A49:C49"/>
    <mergeCell ref="A50:C50"/>
    <mergeCell ref="A55:D55"/>
    <mergeCell ref="A70:E70"/>
    <mergeCell ref="A86:E86"/>
    <mergeCell ref="A101:E101"/>
    <mergeCell ref="A117:E117"/>
    <mergeCell ref="A34:C34"/>
    <mergeCell ref="A35:C35"/>
    <mergeCell ref="A36:C36"/>
    <mergeCell ref="A37:C37"/>
    <mergeCell ref="A42:F42"/>
    <mergeCell ref="A46:C46"/>
    <mergeCell ref="A47:C47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9.63"/>
    <col customWidth="1" min="3" max="3" width="11.63"/>
    <col customWidth="1" min="4" max="4" width="21.0"/>
    <col customWidth="1" min="5" max="5" width="11.75"/>
    <col customWidth="1" min="6" max="6" width="18.63"/>
  </cols>
  <sheetData>
    <row r="1">
      <c r="A1" s="52" t="s">
        <v>147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148</v>
      </c>
      <c r="C4" s="55">
        <v>45992.0</v>
      </c>
      <c r="D4" s="22">
        <v>2197.36</v>
      </c>
      <c r="E4" s="56"/>
      <c r="F4" s="28"/>
    </row>
    <row r="5">
      <c r="A5" s="30" t="s">
        <v>113</v>
      </c>
      <c r="B5" s="31"/>
      <c r="C5" s="32"/>
      <c r="D5" s="24">
        <f>round(D4*10%,2)</f>
        <v>219.74</v>
      </c>
      <c r="E5" s="57"/>
      <c r="F5" s="28"/>
    </row>
    <row r="6">
      <c r="A6" s="30" t="s">
        <v>104</v>
      </c>
      <c r="B6" s="31"/>
      <c r="C6" s="32"/>
      <c r="D6" s="24">
        <f>round(D4*5.26%,2)</f>
        <v>115.58</v>
      </c>
      <c r="E6" s="57"/>
      <c r="F6" s="28"/>
    </row>
    <row r="7">
      <c r="A7" s="33" t="s">
        <v>9</v>
      </c>
      <c r="B7" s="31"/>
      <c r="C7" s="32"/>
      <c r="D7" s="39">
        <f>D4-D5+D6</f>
        <v>2093.2</v>
      </c>
      <c r="E7" s="90">
        <v>26377.0</v>
      </c>
      <c r="F7" s="41">
        <f>round(D7*E7,0)</f>
        <v>55212336</v>
      </c>
    </row>
    <row r="8">
      <c r="A8" s="33" t="s">
        <v>26</v>
      </c>
      <c r="B8" s="31"/>
      <c r="C8" s="32"/>
      <c r="D8" s="39"/>
      <c r="E8" s="90"/>
      <c r="F8" s="41">
        <f>round(F7*10%,0)</f>
        <v>5521234</v>
      </c>
    </row>
    <row r="9">
      <c r="A9" s="33" t="s">
        <v>16</v>
      </c>
      <c r="B9" s="31"/>
      <c r="C9" s="32"/>
      <c r="D9" s="39"/>
      <c r="E9" s="90"/>
      <c r="F9" s="41">
        <f>F7+F8</f>
        <v>60733570</v>
      </c>
    </row>
    <row r="15">
      <c r="A15" s="52" t="s">
        <v>147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148</v>
      </c>
      <c r="C18" s="55">
        <v>46023.0</v>
      </c>
      <c r="D18" s="22">
        <v>2134.89</v>
      </c>
      <c r="E18" s="56"/>
      <c r="F18" s="28"/>
    </row>
    <row r="19">
      <c r="A19" s="30" t="s">
        <v>113</v>
      </c>
      <c r="B19" s="31"/>
      <c r="C19" s="32"/>
      <c r="D19" s="24">
        <f>round(D18*10%,2)</f>
        <v>213.49</v>
      </c>
      <c r="E19" s="57"/>
      <c r="F19" s="28"/>
    </row>
    <row r="20">
      <c r="A20" s="30" t="s">
        <v>104</v>
      </c>
      <c r="B20" s="31"/>
      <c r="C20" s="32"/>
      <c r="D20" s="24">
        <f>round(D18*5.26%,2)</f>
        <v>112.3</v>
      </c>
      <c r="E20" s="57"/>
      <c r="F20" s="28"/>
    </row>
    <row r="21">
      <c r="A21" s="33" t="s">
        <v>9</v>
      </c>
      <c r="B21" s="31"/>
      <c r="C21" s="32"/>
      <c r="D21" s="39">
        <f>D18-D19+D20</f>
        <v>2033.7</v>
      </c>
      <c r="E21" s="90">
        <v>26145.0</v>
      </c>
      <c r="F21" s="41">
        <f>round(D21*E21,0)</f>
        <v>53171087</v>
      </c>
    </row>
    <row r="22">
      <c r="A22" s="33" t="s">
        <v>26</v>
      </c>
      <c r="B22" s="31"/>
      <c r="C22" s="32"/>
      <c r="D22" s="39"/>
      <c r="E22" s="90"/>
      <c r="F22" s="41">
        <f>round(F21*10%,0)</f>
        <v>5317109</v>
      </c>
    </row>
    <row r="23">
      <c r="A23" s="33" t="s">
        <v>16</v>
      </c>
      <c r="B23" s="31"/>
      <c r="C23" s="32"/>
      <c r="D23" s="39"/>
      <c r="E23" s="90"/>
      <c r="F23" s="41">
        <f>F21+F22</f>
        <v>58488196</v>
      </c>
    </row>
    <row r="29">
      <c r="A29" s="52" t="s">
        <v>147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148</v>
      </c>
      <c r="C32" s="55">
        <v>46054.0</v>
      </c>
      <c r="D32" s="22">
        <v>2151.42</v>
      </c>
      <c r="E32" s="56"/>
      <c r="F32" s="28"/>
    </row>
    <row r="33">
      <c r="A33" s="30" t="s">
        <v>113</v>
      </c>
      <c r="B33" s="31"/>
      <c r="C33" s="32"/>
      <c r="D33" s="24">
        <f>round(D32*10%,2)</f>
        <v>215.14</v>
      </c>
      <c r="E33" s="57"/>
      <c r="F33" s="28"/>
    </row>
    <row r="34">
      <c r="A34" s="30" t="s">
        <v>104</v>
      </c>
      <c r="B34" s="31"/>
      <c r="C34" s="32"/>
      <c r="D34" s="24">
        <f>round(D32*5.26%,2)</f>
        <v>113.16</v>
      </c>
      <c r="E34" s="57"/>
      <c r="F34" s="28"/>
    </row>
    <row r="35">
      <c r="A35" s="33" t="s">
        <v>9</v>
      </c>
      <c r="B35" s="31"/>
      <c r="C35" s="32"/>
      <c r="D35" s="39">
        <f>D32-D33+D34</f>
        <v>2049.44</v>
      </c>
      <c r="E35" s="90">
        <v>26240.0</v>
      </c>
      <c r="F35" s="41">
        <f>round(D35*E35,0)</f>
        <v>53777306</v>
      </c>
    </row>
    <row r="36">
      <c r="A36" s="33" t="s">
        <v>26</v>
      </c>
      <c r="B36" s="31"/>
      <c r="C36" s="32"/>
      <c r="D36" s="39"/>
      <c r="E36" s="90"/>
      <c r="F36" s="41">
        <f>round(F35*10%,0)</f>
        <v>5377731</v>
      </c>
    </row>
    <row r="37">
      <c r="A37" s="33" t="s">
        <v>16</v>
      </c>
      <c r="B37" s="31"/>
      <c r="C37" s="32"/>
      <c r="D37" s="39"/>
      <c r="E37" s="90"/>
      <c r="F37" s="41">
        <f>F35+F36</f>
        <v>59155037</v>
      </c>
    </row>
    <row r="43">
      <c r="A43" s="52" t="s">
        <v>147</v>
      </c>
    </row>
    <row r="44">
      <c r="A44" s="53"/>
      <c r="B44" s="53"/>
      <c r="C44" s="53"/>
      <c r="D44" s="53"/>
      <c r="E44" s="53"/>
      <c r="F44" s="53"/>
    </row>
    <row r="45">
      <c r="A45" s="9" t="s">
        <v>4</v>
      </c>
      <c r="B45" s="9" t="s">
        <v>5</v>
      </c>
      <c r="C45" s="9" t="s">
        <v>6</v>
      </c>
      <c r="D45" s="9" t="s">
        <v>7</v>
      </c>
      <c r="E45" s="9" t="s">
        <v>8</v>
      </c>
      <c r="F45" s="9" t="s">
        <v>9</v>
      </c>
    </row>
    <row r="46">
      <c r="A46" s="13">
        <v>1.0</v>
      </c>
      <c r="B46" s="54" t="s">
        <v>148</v>
      </c>
      <c r="C46" s="55">
        <v>46082.0</v>
      </c>
      <c r="D46" s="22">
        <v>2241.91</v>
      </c>
      <c r="E46" s="56"/>
      <c r="F46" s="28"/>
    </row>
    <row r="47">
      <c r="A47" s="30" t="s">
        <v>113</v>
      </c>
      <c r="B47" s="31"/>
      <c r="C47" s="32"/>
      <c r="D47" s="24">
        <f>round(D46*10%,2)</f>
        <v>224.19</v>
      </c>
      <c r="E47" s="57"/>
      <c r="F47" s="28"/>
    </row>
    <row r="48">
      <c r="A48" s="30" t="s">
        <v>104</v>
      </c>
      <c r="B48" s="31"/>
      <c r="C48" s="32"/>
      <c r="D48" s="24">
        <f>round(D46*5.26%,2)</f>
        <v>117.92</v>
      </c>
      <c r="E48" s="57"/>
      <c r="F48" s="28"/>
    </row>
    <row r="49">
      <c r="A49" s="33" t="s">
        <v>9</v>
      </c>
      <c r="B49" s="31"/>
      <c r="C49" s="32"/>
      <c r="D49" s="39">
        <f>D46-D47+D48</f>
        <v>2135.64</v>
      </c>
      <c r="E49" s="90">
        <v>26357.0</v>
      </c>
      <c r="F49" s="41">
        <f>round(D49*E49,0)</f>
        <v>56289063</v>
      </c>
    </row>
    <row r="50">
      <c r="A50" s="33" t="s">
        <v>26</v>
      </c>
      <c r="B50" s="31"/>
      <c r="C50" s="32"/>
      <c r="D50" s="39"/>
      <c r="E50" s="90"/>
      <c r="F50" s="41">
        <f>round(F49*10%,0)</f>
        <v>5628906</v>
      </c>
    </row>
    <row r="51">
      <c r="A51" s="33" t="s">
        <v>16</v>
      </c>
      <c r="B51" s="31"/>
      <c r="C51" s="32"/>
      <c r="D51" s="39"/>
      <c r="E51" s="90"/>
      <c r="F51" s="41">
        <f>F49+F50</f>
        <v>61917969</v>
      </c>
    </row>
    <row r="57">
      <c r="A57" s="52" t="s">
        <v>147</v>
      </c>
    </row>
    <row r="58">
      <c r="A58" s="53"/>
      <c r="B58" s="53"/>
      <c r="C58" s="53"/>
      <c r="D58" s="53"/>
      <c r="E58" s="53"/>
      <c r="F58" s="53"/>
    </row>
    <row r="59">
      <c r="A59" s="9" t="s">
        <v>4</v>
      </c>
      <c r="B59" s="9" t="s">
        <v>5</v>
      </c>
      <c r="C59" s="9" t="s">
        <v>6</v>
      </c>
      <c r="D59" s="9" t="s">
        <v>7</v>
      </c>
      <c r="E59" s="9" t="s">
        <v>8</v>
      </c>
      <c r="F59" s="9" t="s">
        <v>9</v>
      </c>
    </row>
    <row r="60">
      <c r="A60" s="13">
        <v>1.0</v>
      </c>
      <c r="B60" s="54" t="s">
        <v>148</v>
      </c>
      <c r="C60" s="55">
        <v>46113.0</v>
      </c>
      <c r="D60" s="22">
        <v>2611.61</v>
      </c>
      <c r="E60" s="56"/>
      <c r="F60" s="28"/>
    </row>
    <row r="61">
      <c r="A61" s="30" t="s">
        <v>113</v>
      </c>
      <c r="B61" s="31"/>
      <c r="C61" s="32"/>
      <c r="D61" s="24">
        <f>round(D60*10%,2)</f>
        <v>261.16</v>
      </c>
      <c r="E61" s="57"/>
      <c r="F61" s="28"/>
    </row>
    <row r="62">
      <c r="A62" s="30" t="s">
        <v>104</v>
      </c>
      <c r="B62" s="31"/>
      <c r="C62" s="32"/>
      <c r="D62" s="24">
        <f>round(D60*5.26%,2)</f>
        <v>137.37</v>
      </c>
      <c r="E62" s="57"/>
      <c r="F62" s="28"/>
    </row>
    <row r="63">
      <c r="A63" s="33" t="s">
        <v>9</v>
      </c>
      <c r="B63" s="31"/>
      <c r="C63" s="32"/>
      <c r="D63" s="39">
        <f>D60-D61+D62</f>
        <v>2487.82</v>
      </c>
      <c r="E63" s="90">
        <v>26368.0</v>
      </c>
      <c r="F63" s="41">
        <f>round(D63*E63,0)</f>
        <v>65598838</v>
      </c>
    </row>
    <row r="64">
      <c r="A64" s="33" t="s">
        <v>26</v>
      </c>
      <c r="B64" s="31"/>
      <c r="C64" s="32"/>
      <c r="D64" s="39"/>
      <c r="E64" s="90"/>
      <c r="F64" s="41">
        <f>round(F63*10%,0)</f>
        <v>6559884</v>
      </c>
    </row>
    <row r="65">
      <c r="A65" s="33" t="s">
        <v>16</v>
      </c>
      <c r="B65" s="31"/>
      <c r="C65" s="32"/>
      <c r="D65" s="39"/>
      <c r="E65" s="90"/>
      <c r="F65" s="41">
        <f>F63+F64</f>
        <v>72158722</v>
      </c>
    </row>
    <row r="71">
      <c r="A71" s="52" t="s">
        <v>147</v>
      </c>
    </row>
    <row r="72">
      <c r="A72" s="53"/>
      <c r="B72" s="53"/>
      <c r="C72" s="53"/>
      <c r="D72" s="53"/>
      <c r="E72" s="53"/>
      <c r="F72" s="53"/>
    </row>
    <row r="73">
      <c r="A73" s="9" t="s">
        <v>4</v>
      </c>
      <c r="B73" s="9" t="s">
        <v>5</v>
      </c>
      <c r="C73" s="9" t="s">
        <v>6</v>
      </c>
      <c r="D73" s="9" t="s">
        <v>7</v>
      </c>
      <c r="E73" s="9" t="s">
        <v>8</v>
      </c>
      <c r="F73" s="9" t="s">
        <v>9</v>
      </c>
    </row>
    <row r="74">
      <c r="A74" s="13">
        <v>1.0</v>
      </c>
      <c r="B74" s="54" t="s">
        <v>148</v>
      </c>
      <c r="C74" s="55">
        <v>46143.0</v>
      </c>
      <c r="D74" s="22">
        <v>2848.39</v>
      </c>
      <c r="E74" s="56"/>
      <c r="F74" s="28"/>
    </row>
    <row r="75">
      <c r="A75" s="30" t="s">
        <v>113</v>
      </c>
      <c r="B75" s="31"/>
      <c r="C75" s="32"/>
      <c r="D75" s="24">
        <f>round(D74*10%,2)</f>
        <v>284.84</v>
      </c>
      <c r="E75" s="57"/>
      <c r="F75" s="28"/>
    </row>
    <row r="76">
      <c r="A76" s="30" t="s">
        <v>104</v>
      </c>
      <c r="B76" s="31"/>
      <c r="C76" s="32"/>
      <c r="D76" s="24">
        <f>round(D74*5.26%,2)</f>
        <v>149.83</v>
      </c>
      <c r="E76" s="57"/>
      <c r="F76" s="28"/>
    </row>
    <row r="77">
      <c r="A77" s="33" t="s">
        <v>9</v>
      </c>
      <c r="B77" s="31"/>
      <c r="C77" s="32"/>
      <c r="D77" s="39">
        <f>D74-D75+D76</f>
        <v>2713.38</v>
      </c>
      <c r="E77" s="90">
        <v>26395.0</v>
      </c>
      <c r="F77" s="41">
        <f>round(D77*E77,0)</f>
        <v>71619665</v>
      </c>
    </row>
    <row r="78">
      <c r="A78" s="33" t="s">
        <v>26</v>
      </c>
      <c r="B78" s="31"/>
      <c r="C78" s="32"/>
      <c r="D78" s="39"/>
      <c r="E78" s="90"/>
      <c r="F78" s="41">
        <f>round(F77*10%,0)</f>
        <v>7161967</v>
      </c>
    </row>
    <row r="79">
      <c r="A79" s="33" t="s">
        <v>16</v>
      </c>
      <c r="B79" s="31"/>
      <c r="C79" s="32"/>
      <c r="D79" s="39"/>
      <c r="E79" s="90"/>
      <c r="F79" s="41">
        <f>F77+F78</f>
        <v>78781632</v>
      </c>
    </row>
    <row r="84">
      <c r="A84" s="52" t="s">
        <v>147</v>
      </c>
    </row>
    <row r="85">
      <c r="A85" s="53"/>
      <c r="B85" s="53"/>
      <c r="C85" s="53"/>
      <c r="D85" s="53"/>
      <c r="E85" s="53"/>
      <c r="F85" s="53"/>
    </row>
    <row r="86">
      <c r="A86" s="9" t="s">
        <v>4</v>
      </c>
      <c r="B86" s="9" t="s">
        <v>5</v>
      </c>
      <c r="C86" s="9" t="s">
        <v>6</v>
      </c>
      <c r="D86" s="9" t="s">
        <v>7</v>
      </c>
      <c r="E86" s="9" t="s">
        <v>8</v>
      </c>
      <c r="F86" s="9" t="s">
        <v>9</v>
      </c>
    </row>
    <row r="87">
      <c r="A87" s="13">
        <v>1.0</v>
      </c>
      <c r="B87" s="54" t="s">
        <v>148</v>
      </c>
      <c r="C87" s="55">
        <v>46174.0</v>
      </c>
      <c r="D87" s="22">
        <v>2854.85</v>
      </c>
      <c r="E87" s="56"/>
      <c r="F87" s="28"/>
    </row>
    <row r="88">
      <c r="A88" s="30" t="s">
        <v>113</v>
      </c>
      <c r="B88" s="31"/>
      <c r="C88" s="32"/>
      <c r="D88" s="24">
        <f>round(D87*10%,2)</f>
        <v>285.49</v>
      </c>
      <c r="E88" s="57"/>
      <c r="F88" s="28"/>
    </row>
    <row r="89">
      <c r="A89" s="30" t="s">
        <v>104</v>
      </c>
      <c r="B89" s="31"/>
      <c r="C89" s="32"/>
      <c r="D89" s="24">
        <f>round(D87*5.26%,2)</f>
        <v>150.17</v>
      </c>
      <c r="E89" s="57"/>
      <c r="F89" s="28"/>
    </row>
    <row r="90">
      <c r="A90" s="33" t="s">
        <v>9</v>
      </c>
      <c r="B90" s="31"/>
      <c r="C90" s="32"/>
      <c r="D90" s="39">
        <f>D87-D88+D89</f>
        <v>2719.53</v>
      </c>
      <c r="E90" s="90">
        <v>26466.0</v>
      </c>
      <c r="F90" s="41">
        <f>round(D90*E90,0)</f>
        <v>71975081</v>
      </c>
    </row>
    <row r="91">
      <c r="A91" s="33" t="s">
        <v>26</v>
      </c>
      <c r="B91" s="31"/>
      <c r="C91" s="32"/>
      <c r="D91" s="39"/>
      <c r="E91" s="90"/>
      <c r="F91" s="41">
        <f>round(F90*10%,0)</f>
        <v>7197508</v>
      </c>
    </row>
    <row r="92">
      <c r="A92" s="33" t="s">
        <v>16</v>
      </c>
      <c r="B92" s="31"/>
      <c r="C92" s="32"/>
      <c r="D92" s="39"/>
      <c r="E92" s="90"/>
      <c r="F92" s="41">
        <f>F90+F91</f>
        <v>79172589</v>
      </c>
    </row>
    <row r="98">
      <c r="A98" s="52" t="s">
        <v>147</v>
      </c>
    </row>
    <row r="99">
      <c r="A99" s="53"/>
      <c r="B99" s="53"/>
      <c r="C99" s="53"/>
      <c r="D99" s="53"/>
      <c r="E99" s="53"/>
      <c r="F99" s="53"/>
    </row>
    <row r="100">
      <c r="A100" s="9" t="s">
        <v>4</v>
      </c>
      <c r="B100" s="9" t="s">
        <v>5</v>
      </c>
      <c r="C100" s="9" t="s">
        <v>6</v>
      </c>
      <c r="D100" s="9" t="s">
        <v>7</v>
      </c>
      <c r="E100" s="9" t="s">
        <v>8</v>
      </c>
      <c r="F100" s="9" t="s">
        <v>9</v>
      </c>
    </row>
    <row r="101">
      <c r="A101" s="13">
        <v>1.0</v>
      </c>
      <c r="B101" s="54" t="s">
        <v>148</v>
      </c>
      <c r="C101" s="55">
        <v>46204.0</v>
      </c>
      <c r="D101" s="22">
        <v>2912.19</v>
      </c>
      <c r="E101" s="56"/>
      <c r="F101" s="28"/>
    </row>
    <row r="102">
      <c r="A102" s="30" t="s">
        <v>113</v>
      </c>
      <c r="B102" s="31"/>
      <c r="C102" s="32"/>
      <c r="D102" s="24">
        <f>round(D101*10%,2)</f>
        <v>291.22</v>
      </c>
      <c r="E102" s="57"/>
      <c r="F102" s="28"/>
    </row>
    <row r="103">
      <c r="A103" s="30" t="s">
        <v>134</v>
      </c>
      <c r="B103" s="31"/>
      <c r="C103" s="32"/>
      <c r="D103" s="24">
        <f>round(D101*5.88%,2)</f>
        <v>171.24</v>
      </c>
      <c r="E103" s="57"/>
      <c r="F103" s="28"/>
    </row>
    <row r="104">
      <c r="A104" s="33" t="s">
        <v>9</v>
      </c>
      <c r="B104" s="31"/>
      <c r="C104" s="32"/>
      <c r="D104" s="39">
        <f>D101-D102+D103</f>
        <v>2792.21</v>
      </c>
      <c r="E104" s="90">
        <v>26475.0</v>
      </c>
      <c r="F104" s="41">
        <f>round(D104*E104,0)</f>
        <v>73923760</v>
      </c>
    </row>
    <row r="105">
      <c r="A105" s="33" t="s">
        <v>26</v>
      </c>
      <c r="B105" s="31"/>
      <c r="C105" s="32"/>
      <c r="D105" s="39"/>
      <c r="E105" s="90"/>
      <c r="F105" s="41">
        <f>round(F104*10%,0)</f>
        <v>7392376</v>
      </c>
    </row>
    <row r="106">
      <c r="A106" s="33" t="s">
        <v>16</v>
      </c>
      <c r="B106" s="31"/>
      <c r="C106" s="32"/>
      <c r="D106" s="39"/>
      <c r="E106" s="90"/>
      <c r="F106" s="41">
        <f>F104+F105</f>
        <v>81316136</v>
      </c>
    </row>
  </sheetData>
  <mergeCells count="48"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29:F29"/>
    <mergeCell ref="A33:C33"/>
    <mergeCell ref="A34:C34"/>
    <mergeCell ref="A35:C35"/>
    <mergeCell ref="A36:C36"/>
    <mergeCell ref="A37:C37"/>
    <mergeCell ref="A43:F43"/>
    <mergeCell ref="A47:C47"/>
    <mergeCell ref="A48:C48"/>
    <mergeCell ref="A49:C49"/>
    <mergeCell ref="A50:C50"/>
    <mergeCell ref="A51:C51"/>
    <mergeCell ref="A57:F57"/>
    <mergeCell ref="A61:C61"/>
    <mergeCell ref="A62:C62"/>
    <mergeCell ref="A63:C63"/>
    <mergeCell ref="A64:C64"/>
    <mergeCell ref="A65:C65"/>
    <mergeCell ref="A71:F71"/>
    <mergeCell ref="A75:C75"/>
    <mergeCell ref="A76:C76"/>
    <mergeCell ref="A77:C77"/>
    <mergeCell ref="A78:C78"/>
    <mergeCell ref="A98:F98"/>
    <mergeCell ref="A102:C102"/>
    <mergeCell ref="A103:C103"/>
    <mergeCell ref="A104:C104"/>
    <mergeCell ref="A105:C105"/>
    <mergeCell ref="A106:C106"/>
    <mergeCell ref="A79:C79"/>
    <mergeCell ref="A84:F84"/>
    <mergeCell ref="A88:C88"/>
    <mergeCell ref="A89:C89"/>
    <mergeCell ref="A90:C90"/>
    <mergeCell ref="A91:C91"/>
    <mergeCell ref="A92:C92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9.63"/>
    <col customWidth="1" min="3" max="3" width="11.63"/>
    <col customWidth="1" min="4" max="4" width="21.0"/>
    <col customWidth="1" min="5" max="5" width="11.75"/>
    <col customWidth="1" min="6" max="6" width="18.63"/>
  </cols>
  <sheetData>
    <row r="1">
      <c r="A1" s="52" t="s">
        <v>149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151</v>
      </c>
      <c r="C4" s="55">
        <v>46023.0</v>
      </c>
      <c r="D4" s="22">
        <v>1112.69</v>
      </c>
      <c r="E4" s="56"/>
      <c r="F4" s="28"/>
    </row>
    <row r="5">
      <c r="A5" s="30" t="s">
        <v>126</v>
      </c>
      <c r="B5" s="31"/>
      <c r="C5" s="32"/>
      <c r="D5" s="24">
        <f>round(D4*12%,2)</f>
        <v>133.52</v>
      </c>
      <c r="E5" s="57"/>
      <c r="F5" s="28"/>
    </row>
    <row r="6">
      <c r="A6" s="30" t="s">
        <v>104</v>
      </c>
      <c r="B6" s="31"/>
      <c r="C6" s="32"/>
      <c r="D6" s="24">
        <f>round(D4*5.26%,2)</f>
        <v>58.53</v>
      </c>
      <c r="E6" s="57"/>
      <c r="F6" s="28"/>
    </row>
    <row r="7">
      <c r="A7" s="33" t="s">
        <v>9</v>
      </c>
      <c r="B7" s="31"/>
      <c r="C7" s="32"/>
      <c r="D7" s="39">
        <f>D4-D5+D6</f>
        <v>1037.7</v>
      </c>
      <c r="E7" s="90">
        <v>26145.0</v>
      </c>
      <c r="F7" s="41">
        <f>round(D7*E7,0)</f>
        <v>27130667</v>
      </c>
    </row>
    <row r="8">
      <c r="A8" s="33" t="s">
        <v>26</v>
      </c>
      <c r="B8" s="31"/>
      <c r="C8" s="32"/>
      <c r="D8" s="39"/>
      <c r="E8" s="90"/>
      <c r="F8" s="41">
        <f>round(F7*10%,0)</f>
        <v>2713067</v>
      </c>
    </row>
    <row r="9">
      <c r="A9" s="33" t="s">
        <v>16</v>
      </c>
      <c r="B9" s="31"/>
      <c r="C9" s="32"/>
      <c r="D9" s="39"/>
      <c r="E9" s="90"/>
      <c r="F9" s="41">
        <f>F7+F8</f>
        <v>29843734</v>
      </c>
    </row>
    <row r="14">
      <c r="A14" s="52" t="s">
        <v>149</v>
      </c>
    </row>
    <row r="15">
      <c r="A15" s="53"/>
      <c r="B15" s="53"/>
      <c r="C15" s="53"/>
      <c r="D15" s="53"/>
      <c r="E15" s="53"/>
      <c r="F15" s="53"/>
    </row>
    <row r="16">
      <c r="A16" s="9" t="s">
        <v>4</v>
      </c>
      <c r="B16" s="9" t="s">
        <v>5</v>
      </c>
      <c r="C16" s="9" t="s">
        <v>6</v>
      </c>
      <c r="D16" s="9" t="s">
        <v>7</v>
      </c>
      <c r="E16" s="9" t="s">
        <v>8</v>
      </c>
      <c r="F16" s="9" t="s">
        <v>9</v>
      </c>
    </row>
    <row r="17">
      <c r="A17" s="13">
        <v>1.0</v>
      </c>
      <c r="B17" s="54" t="s">
        <v>151</v>
      </c>
      <c r="C17" s="55">
        <v>46054.0</v>
      </c>
      <c r="D17" s="22">
        <v>1118.18</v>
      </c>
      <c r="E17" s="56"/>
      <c r="F17" s="28"/>
    </row>
    <row r="18">
      <c r="A18" s="30" t="s">
        <v>126</v>
      </c>
      <c r="B18" s="31"/>
      <c r="C18" s="32"/>
      <c r="D18" s="24">
        <f>round(D17*12%,2)</f>
        <v>134.18</v>
      </c>
      <c r="E18" s="57"/>
      <c r="F18" s="28"/>
    </row>
    <row r="19">
      <c r="A19" s="30" t="s">
        <v>104</v>
      </c>
      <c r="B19" s="31"/>
      <c r="C19" s="32"/>
      <c r="D19" s="24">
        <f>round(D17*5.26%,2)</f>
        <v>58.82</v>
      </c>
      <c r="E19" s="57"/>
      <c r="F19" s="28"/>
    </row>
    <row r="20">
      <c r="A20" s="33" t="s">
        <v>9</v>
      </c>
      <c r="B20" s="31"/>
      <c r="C20" s="32"/>
      <c r="D20" s="39">
        <f>D17-D18+D19</f>
        <v>1042.82</v>
      </c>
      <c r="E20" s="90">
        <v>26240.0</v>
      </c>
      <c r="F20" s="41">
        <f>round(D20*E20,0)</f>
        <v>27363597</v>
      </c>
    </row>
    <row r="21">
      <c r="A21" s="33" t="s">
        <v>26</v>
      </c>
      <c r="B21" s="31"/>
      <c r="C21" s="32"/>
      <c r="D21" s="39"/>
      <c r="E21" s="90"/>
      <c r="F21" s="41">
        <f>round(F20*10%,0)</f>
        <v>2736360</v>
      </c>
    </row>
    <row r="22">
      <c r="A22" s="33" t="s">
        <v>16</v>
      </c>
      <c r="B22" s="31"/>
      <c r="C22" s="32"/>
      <c r="D22" s="39"/>
      <c r="E22" s="90"/>
      <c r="F22" s="41">
        <f>F20+F21</f>
        <v>30099957</v>
      </c>
    </row>
    <row r="28">
      <c r="A28" s="52" t="s">
        <v>149</v>
      </c>
    </row>
    <row r="29">
      <c r="A29" s="53"/>
      <c r="B29" s="53"/>
      <c r="C29" s="53"/>
      <c r="D29" s="53"/>
      <c r="E29" s="53"/>
      <c r="F29" s="53"/>
    </row>
    <row r="30">
      <c r="A30" s="9" t="s">
        <v>4</v>
      </c>
      <c r="B30" s="9" t="s">
        <v>5</v>
      </c>
      <c r="C30" s="9" t="s">
        <v>6</v>
      </c>
      <c r="D30" s="9" t="s">
        <v>7</v>
      </c>
      <c r="E30" s="9" t="s">
        <v>8</v>
      </c>
      <c r="F30" s="9" t="s">
        <v>9</v>
      </c>
    </row>
    <row r="31">
      <c r="A31" s="13">
        <v>1.0</v>
      </c>
      <c r="B31" s="54" t="s">
        <v>151</v>
      </c>
      <c r="C31" s="55">
        <v>46082.0</v>
      </c>
      <c r="D31" s="22">
        <v>1152.81</v>
      </c>
      <c r="E31" s="56"/>
      <c r="F31" s="28"/>
    </row>
    <row r="32">
      <c r="A32" s="30" t="s">
        <v>126</v>
      </c>
      <c r="B32" s="31"/>
      <c r="C32" s="32"/>
      <c r="D32" s="24">
        <f>round(D31*12%,2)</f>
        <v>138.34</v>
      </c>
      <c r="E32" s="57"/>
      <c r="F32" s="28"/>
    </row>
    <row r="33">
      <c r="A33" s="30" t="s">
        <v>104</v>
      </c>
      <c r="B33" s="31"/>
      <c r="C33" s="32"/>
      <c r="D33" s="24">
        <f>round(D31*5.26%,2)</f>
        <v>60.64</v>
      </c>
      <c r="E33" s="57"/>
      <c r="F33" s="28"/>
    </row>
    <row r="34">
      <c r="A34" s="33" t="s">
        <v>9</v>
      </c>
      <c r="B34" s="31"/>
      <c r="C34" s="32"/>
      <c r="D34" s="39">
        <f>D31-D32+D33</f>
        <v>1075.11</v>
      </c>
      <c r="E34" s="90">
        <v>26357.0</v>
      </c>
      <c r="F34" s="41">
        <f>round(D34*E34,0)</f>
        <v>28336674</v>
      </c>
    </row>
    <row r="35">
      <c r="A35" s="33" t="s">
        <v>26</v>
      </c>
      <c r="B35" s="31"/>
      <c r="C35" s="32"/>
      <c r="D35" s="39"/>
      <c r="E35" s="90"/>
      <c r="F35" s="41">
        <f>round(F34*10%,0)</f>
        <v>2833667</v>
      </c>
    </row>
    <row r="36">
      <c r="A36" s="33" t="s">
        <v>16</v>
      </c>
      <c r="B36" s="31"/>
      <c r="C36" s="32"/>
      <c r="D36" s="39"/>
      <c r="E36" s="90"/>
      <c r="F36" s="41">
        <f>F34+F35</f>
        <v>31170341</v>
      </c>
    </row>
    <row r="42">
      <c r="A42" s="52" t="s">
        <v>149</v>
      </c>
    </row>
    <row r="43">
      <c r="A43" s="53"/>
      <c r="B43" s="53"/>
      <c r="C43" s="53"/>
      <c r="D43" s="53"/>
      <c r="E43" s="53"/>
      <c r="F43" s="53"/>
    </row>
    <row r="44">
      <c r="A44" s="9" t="s">
        <v>4</v>
      </c>
      <c r="B44" s="9" t="s">
        <v>5</v>
      </c>
      <c r="C44" s="9" t="s">
        <v>6</v>
      </c>
      <c r="D44" s="9" t="s">
        <v>7</v>
      </c>
      <c r="E44" s="9" t="s">
        <v>8</v>
      </c>
      <c r="F44" s="9" t="s">
        <v>9</v>
      </c>
    </row>
    <row r="45">
      <c r="A45" s="13">
        <v>1.0</v>
      </c>
      <c r="B45" s="54" t="s">
        <v>151</v>
      </c>
      <c r="C45" s="55">
        <v>46113.0</v>
      </c>
      <c r="D45" s="22">
        <v>1148.68</v>
      </c>
      <c r="E45" s="56"/>
      <c r="F45" s="28"/>
    </row>
    <row r="46">
      <c r="A46" s="30" t="s">
        <v>126</v>
      </c>
      <c r="B46" s="31"/>
      <c r="C46" s="32"/>
      <c r="D46" s="24">
        <f>round(D45*12%,2)</f>
        <v>137.84</v>
      </c>
      <c r="E46" s="57"/>
      <c r="F46" s="28"/>
    </row>
    <row r="47">
      <c r="A47" s="30" t="s">
        <v>104</v>
      </c>
      <c r="B47" s="31"/>
      <c r="C47" s="32"/>
      <c r="D47" s="24">
        <f>round(D45*5.26%,2)</f>
        <v>60.42</v>
      </c>
      <c r="E47" s="57"/>
      <c r="F47" s="28"/>
    </row>
    <row r="48">
      <c r="A48" s="33" t="s">
        <v>9</v>
      </c>
      <c r="B48" s="31"/>
      <c r="C48" s="32"/>
      <c r="D48" s="39">
        <f>D45-D46+D47</f>
        <v>1071.26</v>
      </c>
      <c r="E48" s="90">
        <v>26368.0</v>
      </c>
      <c r="F48" s="41">
        <f>round(D48*E48,0)</f>
        <v>28246984</v>
      </c>
    </row>
    <row r="49">
      <c r="A49" s="33" t="s">
        <v>26</v>
      </c>
      <c r="B49" s="31"/>
      <c r="C49" s="32"/>
      <c r="D49" s="39"/>
      <c r="E49" s="90"/>
      <c r="F49" s="41">
        <f>round(F48*10%,0)</f>
        <v>2824698</v>
      </c>
    </row>
    <row r="50">
      <c r="A50" s="33" t="s">
        <v>16</v>
      </c>
      <c r="B50" s="31"/>
      <c r="C50" s="32"/>
      <c r="D50" s="39"/>
      <c r="E50" s="90"/>
      <c r="F50" s="41">
        <f>F48+F49</f>
        <v>31071682</v>
      </c>
    </row>
    <row r="56">
      <c r="A56" s="52" t="s">
        <v>149</v>
      </c>
    </row>
    <row r="57">
      <c r="A57" s="53"/>
      <c r="B57" s="53"/>
      <c r="C57" s="53"/>
      <c r="D57" s="53"/>
      <c r="E57" s="53"/>
      <c r="F57" s="53"/>
    </row>
    <row r="58">
      <c r="A58" s="9" t="s">
        <v>4</v>
      </c>
      <c r="B58" s="9" t="s">
        <v>5</v>
      </c>
      <c r="C58" s="9" t="s">
        <v>6</v>
      </c>
      <c r="D58" s="9" t="s">
        <v>7</v>
      </c>
      <c r="E58" s="9" t="s">
        <v>8</v>
      </c>
      <c r="F58" s="9" t="s">
        <v>9</v>
      </c>
    </row>
    <row r="59">
      <c r="A59" s="13">
        <v>1.0</v>
      </c>
      <c r="B59" s="54" t="s">
        <v>151</v>
      </c>
      <c r="C59" s="55">
        <v>46143.0</v>
      </c>
      <c r="D59" s="22">
        <v>1154.47</v>
      </c>
      <c r="E59" s="56"/>
      <c r="F59" s="28"/>
    </row>
    <row r="60">
      <c r="A60" s="30" t="s">
        <v>126</v>
      </c>
      <c r="B60" s="31"/>
      <c r="C60" s="32"/>
      <c r="D60" s="24">
        <f>round(D59*12%,2)</f>
        <v>138.54</v>
      </c>
      <c r="E60" s="57"/>
      <c r="F60" s="28"/>
    </row>
    <row r="61">
      <c r="A61" s="30" t="s">
        <v>104</v>
      </c>
      <c r="B61" s="31"/>
      <c r="C61" s="32"/>
      <c r="D61" s="24">
        <f>round(D59*5.26%,2)</f>
        <v>60.73</v>
      </c>
      <c r="E61" s="57"/>
      <c r="F61" s="28"/>
    </row>
    <row r="62">
      <c r="A62" s="33" t="s">
        <v>9</v>
      </c>
      <c r="B62" s="31"/>
      <c r="C62" s="32"/>
      <c r="D62" s="39">
        <f>D59-D60+D61</f>
        <v>1076.66</v>
      </c>
      <c r="E62" s="90">
        <v>26395.0</v>
      </c>
      <c r="F62" s="41">
        <f>round(D62*E62,0)</f>
        <v>28418441</v>
      </c>
    </row>
    <row r="63">
      <c r="A63" s="33" t="s">
        <v>26</v>
      </c>
      <c r="B63" s="31"/>
      <c r="C63" s="32"/>
      <c r="D63" s="39"/>
      <c r="E63" s="90"/>
      <c r="F63" s="41">
        <f>round(F62*10%,0)</f>
        <v>2841844</v>
      </c>
    </row>
    <row r="64">
      <c r="A64" s="33" t="s">
        <v>16</v>
      </c>
      <c r="B64" s="31"/>
      <c r="C64" s="32"/>
      <c r="D64" s="39"/>
      <c r="E64" s="90"/>
      <c r="F64" s="41">
        <f>F62+F63</f>
        <v>31260285</v>
      </c>
    </row>
    <row r="69">
      <c r="A69" s="52" t="s">
        <v>149</v>
      </c>
    </row>
    <row r="70">
      <c r="A70" s="53"/>
      <c r="B70" s="53"/>
      <c r="C70" s="53"/>
      <c r="D70" s="53"/>
      <c r="E70" s="53"/>
      <c r="F70" s="53"/>
    </row>
    <row r="71">
      <c r="A71" s="9" t="s">
        <v>4</v>
      </c>
      <c r="B71" s="9" t="s">
        <v>5</v>
      </c>
      <c r="C71" s="9" t="s">
        <v>6</v>
      </c>
      <c r="D71" s="9" t="s">
        <v>7</v>
      </c>
      <c r="E71" s="9" t="s">
        <v>8</v>
      </c>
      <c r="F71" s="9" t="s">
        <v>9</v>
      </c>
    </row>
    <row r="72">
      <c r="A72" s="13">
        <v>1.0</v>
      </c>
      <c r="B72" s="54" t="s">
        <v>151</v>
      </c>
      <c r="C72" s="55">
        <v>46174.0</v>
      </c>
      <c r="D72" s="22">
        <v>1184.37</v>
      </c>
      <c r="E72" s="56"/>
      <c r="F72" s="28"/>
    </row>
    <row r="73">
      <c r="A73" s="30" t="s">
        <v>126</v>
      </c>
      <c r="B73" s="31"/>
      <c r="C73" s="32"/>
      <c r="D73" s="24">
        <f>round(D72*12%,2)</f>
        <v>142.12</v>
      </c>
      <c r="E73" s="57"/>
      <c r="F73" s="28"/>
    </row>
    <row r="74">
      <c r="A74" s="30" t="s">
        <v>104</v>
      </c>
      <c r="B74" s="31"/>
      <c r="C74" s="32"/>
      <c r="D74" s="24">
        <f>round(D72*5.26%,2)</f>
        <v>62.3</v>
      </c>
      <c r="E74" s="57"/>
      <c r="F74" s="28"/>
    </row>
    <row r="75">
      <c r="A75" s="33" t="s">
        <v>9</v>
      </c>
      <c r="B75" s="31"/>
      <c r="C75" s="32"/>
      <c r="D75" s="39">
        <f>D72-D73+D74</f>
        <v>1104.55</v>
      </c>
      <c r="E75" s="90">
        <v>26466.0</v>
      </c>
      <c r="F75" s="41">
        <f>round(D75*E75,0)</f>
        <v>29233020</v>
      </c>
    </row>
    <row r="76">
      <c r="A76" s="33" t="s">
        <v>26</v>
      </c>
      <c r="B76" s="31"/>
      <c r="C76" s="32"/>
      <c r="D76" s="39"/>
      <c r="E76" s="90"/>
      <c r="F76" s="41">
        <f>round(F75*10%,0)</f>
        <v>2923302</v>
      </c>
    </row>
    <row r="77">
      <c r="A77" s="33" t="s">
        <v>16</v>
      </c>
      <c r="B77" s="31"/>
      <c r="C77" s="32"/>
      <c r="D77" s="39"/>
      <c r="E77" s="90"/>
      <c r="F77" s="41">
        <f>F75+F76</f>
        <v>32156322</v>
      </c>
    </row>
    <row r="83">
      <c r="A83" s="52" t="s">
        <v>149</v>
      </c>
    </row>
    <row r="84">
      <c r="A84" s="53"/>
      <c r="B84" s="53"/>
      <c r="C84" s="53"/>
      <c r="D84" s="53"/>
      <c r="E84" s="53"/>
      <c r="F84" s="53"/>
    </row>
    <row r="85">
      <c r="A85" s="9" t="s">
        <v>4</v>
      </c>
      <c r="B85" s="9" t="s">
        <v>5</v>
      </c>
      <c r="C85" s="9" t="s">
        <v>6</v>
      </c>
      <c r="D85" s="9" t="s">
        <v>7</v>
      </c>
      <c r="E85" s="9" t="s">
        <v>8</v>
      </c>
      <c r="F85" s="9" t="s">
        <v>9</v>
      </c>
    </row>
    <row r="86">
      <c r="A86" s="13">
        <v>1.0</v>
      </c>
      <c r="B86" s="54" t="s">
        <v>151</v>
      </c>
      <c r="C86" s="55">
        <v>46204.0</v>
      </c>
      <c r="D86" s="22">
        <v>1115.69</v>
      </c>
      <c r="E86" s="56"/>
      <c r="F86" s="28"/>
    </row>
    <row r="87">
      <c r="A87" s="30" t="s">
        <v>126</v>
      </c>
      <c r="B87" s="31"/>
      <c r="C87" s="32"/>
      <c r="D87" s="24">
        <f>round(D86*12%,2)</f>
        <v>133.88</v>
      </c>
      <c r="E87" s="57"/>
      <c r="F87" s="28"/>
    </row>
    <row r="88">
      <c r="A88" s="30" t="s">
        <v>134</v>
      </c>
      <c r="B88" s="31"/>
      <c r="C88" s="32"/>
      <c r="D88" s="24">
        <f>round(D86*5.88%,2)</f>
        <v>65.6</v>
      </c>
      <c r="E88" s="57"/>
      <c r="F88" s="28"/>
    </row>
    <row r="89">
      <c r="A89" s="33" t="s">
        <v>9</v>
      </c>
      <c r="B89" s="31"/>
      <c r="C89" s="32"/>
      <c r="D89" s="39">
        <f>D86-D87+D88</f>
        <v>1047.41</v>
      </c>
      <c r="E89" s="90">
        <v>26475.0</v>
      </c>
      <c r="F89" s="41">
        <f>round(D89*E89,0)</f>
        <v>27730180</v>
      </c>
    </row>
    <row r="90">
      <c r="A90" s="33" t="s">
        <v>26</v>
      </c>
      <c r="B90" s="31"/>
      <c r="C90" s="32"/>
      <c r="D90" s="39"/>
      <c r="E90" s="90"/>
      <c r="F90" s="41">
        <f>round(F89*10%,0)</f>
        <v>2773018</v>
      </c>
    </row>
    <row r="91">
      <c r="A91" s="33" t="s">
        <v>16</v>
      </c>
      <c r="B91" s="31"/>
      <c r="C91" s="32"/>
      <c r="D91" s="39"/>
      <c r="E91" s="90"/>
      <c r="F91" s="41">
        <f>F89+F90</f>
        <v>30503198</v>
      </c>
    </row>
  </sheetData>
  <mergeCells count="42">
    <mergeCell ref="A1:F1"/>
    <mergeCell ref="A5:C5"/>
    <mergeCell ref="A6:C6"/>
    <mergeCell ref="A7:C7"/>
    <mergeCell ref="A8:C8"/>
    <mergeCell ref="A9:C9"/>
    <mergeCell ref="A14:F14"/>
    <mergeCell ref="A18:C18"/>
    <mergeCell ref="A19:C19"/>
    <mergeCell ref="A20:C20"/>
    <mergeCell ref="A21:C21"/>
    <mergeCell ref="A22:C22"/>
    <mergeCell ref="A28:F28"/>
    <mergeCell ref="A32:C32"/>
    <mergeCell ref="A33:C33"/>
    <mergeCell ref="A34:C34"/>
    <mergeCell ref="A35:C35"/>
    <mergeCell ref="A36:C36"/>
    <mergeCell ref="A42:F42"/>
    <mergeCell ref="A46:C46"/>
    <mergeCell ref="A47:C47"/>
    <mergeCell ref="A48:C48"/>
    <mergeCell ref="A49:C49"/>
    <mergeCell ref="A50:C50"/>
    <mergeCell ref="A56:F56"/>
    <mergeCell ref="A60:C60"/>
    <mergeCell ref="A61:C61"/>
    <mergeCell ref="A62:C62"/>
    <mergeCell ref="A77:C77"/>
    <mergeCell ref="A83:F83"/>
    <mergeCell ref="A87:C87"/>
    <mergeCell ref="A88:C88"/>
    <mergeCell ref="A89:C89"/>
    <mergeCell ref="A90:C90"/>
    <mergeCell ref="A91:C91"/>
    <mergeCell ref="A63:C63"/>
    <mergeCell ref="A64:C64"/>
    <mergeCell ref="A69:F69"/>
    <mergeCell ref="A73:C73"/>
    <mergeCell ref="A74:C74"/>
    <mergeCell ref="A75:C75"/>
    <mergeCell ref="A76:C76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4.38"/>
    <col customWidth="1" min="3" max="3" width="11.63"/>
    <col customWidth="1" min="4" max="4" width="21.0"/>
    <col customWidth="1" min="5" max="5" width="11.75"/>
    <col customWidth="1" min="6" max="6" width="18.63"/>
  </cols>
  <sheetData>
    <row r="1">
      <c r="A1" s="52" t="s">
        <v>169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170</v>
      </c>
      <c r="C4" s="55">
        <v>46023.0</v>
      </c>
      <c r="D4" s="22">
        <v>663.87</v>
      </c>
      <c r="E4" s="56"/>
      <c r="F4" s="28"/>
    </row>
    <row r="5">
      <c r="A5" s="30" t="s">
        <v>113</v>
      </c>
      <c r="B5" s="31"/>
      <c r="C5" s="32"/>
      <c r="D5" s="24">
        <f>round(D4*10%,2)</f>
        <v>66.39</v>
      </c>
      <c r="E5" s="57"/>
      <c r="F5" s="28"/>
    </row>
    <row r="6">
      <c r="A6" s="30" t="s">
        <v>106</v>
      </c>
      <c r="B6" s="31"/>
      <c r="C6" s="32"/>
      <c r="D6" s="24">
        <f>round(D4*10%,2)</f>
        <v>66.39</v>
      </c>
      <c r="E6" s="57"/>
      <c r="F6" s="28"/>
    </row>
    <row r="7">
      <c r="A7" s="33" t="s">
        <v>9</v>
      </c>
      <c r="B7" s="31"/>
      <c r="C7" s="32"/>
      <c r="D7" s="39">
        <f>D4-D5+D6</f>
        <v>663.87</v>
      </c>
      <c r="E7" s="90">
        <v>26145.0</v>
      </c>
      <c r="F7" s="41">
        <f>round(D7*E7,0)</f>
        <v>17356881</v>
      </c>
    </row>
    <row r="8">
      <c r="A8" s="33" t="s">
        <v>26</v>
      </c>
      <c r="B8" s="31"/>
      <c r="C8" s="32"/>
      <c r="D8" s="39"/>
      <c r="E8" s="90"/>
      <c r="F8" s="41">
        <f>round(F7*10%,0)</f>
        <v>1735688</v>
      </c>
    </row>
    <row r="9">
      <c r="A9" s="33" t="s">
        <v>16</v>
      </c>
      <c r="B9" s="31"/>
      <c r="C9" s="32"/>
      <c r="D9" s="39"/>
      <c r="E9" s="90"/>
      <c r="F9" s="41">
        <f>F7+F8</f>
        <v>19092569</v>
      </c>
    </row>
    <row r="14">
      <c r="A14" s="52" t="s">
        <v>169</v>
      </c>
    </row>
    <row r="15">
      <c r="A15" s="53"/>
      <c r="B15" s="53"/>
      <c r="C15" s="53"/>
      <c r="D15" s="53"/>
      <c r="E15" s="53"/>
      <c r="F15" s="53"/>
    </row>
    <row r="16">
      <c r="A16" s="9" t="s">
        <v>4</v>
      </c>
      <c r="B16" s="9" t="s">
        <v>5</v>
      </c>
      <c r="C16" s="9" t="s">
        <v>6</v>
      </c>
      <c r="D16" s="9" t="s">
        <v>7</v>
      </c>
      <c r="E16" s="9" t="s">
        <v>8</v>
      </c>
      <c r="F16" s="9" t="s">
        <v>9</v>
      </c>
    </row>
    <row r="17">
      <c r="A17" s="13">
        <v>1.0</v>
      </c>
      <c r="B17" s="54" t="s">
        <v>170</v>
      </c>
      <c r="C17" s="55">
        <v>46054.0</v>
      </c>
      <c r="D17" s="22">
        <v>754.23</v>
      </c>
      <c r="E17" s="56"/>
      <c r="F17" s="28"/>
    </row>
    <row r="18">
      <c r="A18" s="30" t="s">
        <v>113</v>
      </c>
      <c r="B18" s="31"/>
      <c r="C18" s="32"/>
      <c r="D18" s="24">
        <f>round(D17*10%,2)</f>
        <v>75.42</v>
      </c>
      <c r="E18" s="57"/>
      <c r="F18" s="28"/>
    </row>
    <row r="19">
      <c r="A19" s="30" t="s">
        <v>106</v>
      </c>
      <c r="B19" s="31"/>
      <c r="C19" s="32"/>
      <c r="D19" s="24">
        <f>round(D17*10%,2)</f>
        <v>75.42</v>
      </c>
      <c r="E19" s="57"/>
      <c r="F19" s="28"/>
    </row>
    <row r="20">
      <c r="A20" s="33" t="s">
        <v>9</v>
      </c>
      <c r="B20" s="31"/>
      <c r="C20" s="32"/>
      <c r="D20" s="39">
        <f>D17-D18+D19</f>
        <v>754.23</v>
      </c>
      <c r="E20" s="90">
        <v>26240.0</v>
      </c>
      <c r="F20" s="41">
        <f>round(D20*E20,0)</f>
        <v>19790995</v>
      </c>
    </row>
    <row r="21">
      <c r="A21" s="33" t="s">
        <v>26</v>
      </c>
      <c r="B21" s="31"/>
      <c r="C21" s="32"/>
      <c r="D21" s="39"/>
      <c r="E21" s="90"/>
      <c r="F21" s="41">
        <f>round(F20*10%,0)</f>
        <v>1979100</v>
      </c>
    </row>
    <row r="22">
      <c r="A22" s="33" t="s">
        <v>16</v>
      </c>
      <c r="B22" s="31"/>
      <c r="C22" s="32"/>
      <c r="D22" s="39"/>
      <c r="E22" s="90"/>
      <c r="F22" s="41">
        <f>F20+F21</f>
        <v>21770095</v>
      </c>
    </row>
    <row r="28">
      <c r="A28" s="52" t="s">
        <v>169</v>
      </c>
    </row>
    <row r="29">
      <c r="A29" s="53"/>
      <c r="B29" s="53"/>
      <c r="C29" s="53"/>
      <c r="D29" s="53"/>
      <c r="E29" s="53"/>
      <c r="F29" s="53"/>
    </row>
    <row r="30">
      <c r="A30" s="9" t="s">
        <v>4</v>
      </c>
      <c r="B30" s="9" t="s">
        <v>5</v>
      </c>
      <c r="C30" s="9" t="s">
        <v>6</v>
      </c>
      <c r="D30" s="9" t="s">
        <v>7</v>
      </c>
      <c r="E30" s="9" t="s">
        <v>8</v>
      </c>
      <c r="F30" s="9" t="s">
        <v>9</v>
      </c>
    </row>
    <row r="31">
      <c r="A31" s="13">
        <v>1.0</v>
      </c>
      <c r="B31" s="54" t="s">
        <v>170</v>
      </c>
      <c r="C31" s="55">
        <v>46082.0</v>
      </c>
      <c r="D31" s="22">
        <v>800.93</v>
      </c>
      <c r="E31" s="56"/>
      <c r="F31" s="28"/>
    </row>
    <row r="32">
      <c r="A32" s="30" t="s">
        <v>113</v>
      </c>
      <c r="B32" s="31"/>
      <c r="C32" s="32"/>
      <c r="D32" s="24">
        <f>round(D31*10%,2)</f>
        <v>80.09</v>
      </c>
      <c r="E32" s="57"/>
      <c r="F32" s="28"/>
    </row>
    <row r="33">
      <c r="A33" s="30" t="s">
        <v>106</v>
      </c>
      <c r="B33" s="31"/>
      <c r="C33" s="32"/>
      <c r="D33" s="24">
        <f>round(D31*10%,2)</f>
        <v>80.09</v>
      </c>
      <c r="E33" s="57"/>
      <c r="F33" s="28"/>
    </row>
    <row r="34">
      <c r="A34" s="33" t="s">
        <v>9</v>
      </c>
      <c r="B34" s="31"/>
      <c r="C34" s="32"/>
      <c r="D34" s="39">
        <f>D31-D32+D33</f>
        <v>800.93</v>
      </c>
      <c r="E34" s="90">
        <v>26357.0</v>
      </c>
      <c r="F34" s="41">
        <f>round(D34*E34,0)</f>
        <v>21110112</v>
      </c>
    </row>
    <row r="35">
      <c r="A35" s="33" t="s">
        <v>26</v>
      </c>
      <c r="B35" s="31"/>
      <c r="C35" s="32"/>
      <c r="D35" s="39"/>
      <c r="E35" s="90"/>
      <c r="F35" s="41">
        <f>round(F34*10%,0)</f>
        <v>2111011</v>
      </c>
    </row>
    <row r="36">
      <c r="A36" s="33" t="s">
        <v>16</v>
      </c>
      <c r="B36" s="31"/>
      <c r="C36" s="32"/>
      <c r="D36" s="39"/>
      <c r="E36" s="90"/>
      <c r="F36" s="41">
        <f>F34+F35</f>
        <v>23221123</v>
      </c>
    </row>
    <row r="41">
      <c r="A41" s="52" t="s">
        <v>169</v>
      </c>
    </row>
    <row r="42">
      <c r="A42" s="53"/>
      <c r="B42" s="53"/>
      <c r="C42" s="53"/>
      <c r="D42" s="53"/>
      <c r="E42" s="53"/>
      <c r="F42" s="53"/>
    </row>
    <row r="43">
      <c r="A43" s="9" t="s">
        <v>4</v>
      </c>
      <c r="B43" s="9" t="s">
        <v>5</v>
      </c>
      <c r="C43" s="9" t="s">
        <v>6</v>
      </c>
      <c r="D43" s="9" t="s">
        <v>7</v>
      </c>
      <c r="E43" s="9" t="s">
        <v>8</v>
      </c>
      <c r="F43" s="9" t="s">
        <v>9</v>
      </c>
    </row>
    <row r="44">
      <c r="A44" s="13">
        <v>1.0</v>
      </c>
      <c r="B44" s="54" t="s">
        <v>170</v>
      </c>
      <c r="C44" s="55">
        <v>46113.0</v>
      </c>
      <c r="D44" s="22">
        <v>925.47</v>
      </c>
      <c r="E44" s="56"/>
      <c r="F44" s="28"/>
    </row>
    <row r="45">
      <c r="A45" s="30" t="s">
        <v>113</v>
      </c>
      <c r="B45" s="31"/>
      <c r="C45" s="32"/>
      <c r="D45" s="24">
        <f>round(D44*10%,2)</f>
        <v>92.55</v>
      </c>
      <c r="E45" s="57"/>
      <c r="F45" s="28"/>
    </row>
    <row r="46">
      <c r="A46" s="30" t="s">
        <v>106</v>
      </c>
      <c r="B46" s="31"/>
      <c r="C46" s="32"/>
      <c r="D46" s="24">
        <f>round(D44*10%,2)</f>
        <v>92.55</v>
      </c>
      <c r="E46" s="57"/>
      <c r="F46" s="28"/>
    </row>
    <row r="47">
      <c r="A47" s="33" t="s">
        <v>9</v>
      </c>
      <c r="B47" s="31"/>
      <c r="C47" s="32"/>
      <c r="D47" s="39">
        <f>D44-D45+D46</f>
        <v>925.47</v>
      </c>
      <c r="E47" s="90">
        <v>26368.0</v>
      </c>
      <c r="F47" s="41">
        <f>round(D47*E47,0)</f>
        <v>24402793</v>
      </c>
    </row>
    <row r="48">
      <c r="A48" s="33" t="s">
        <v>26</v>
      </c>
      <c r="B48" s="31"/>
      <c r="C48" s="32"/>
      <c r="D48" s="39"/>
      <c r="E48" s="90"/>
      <c r="F48" s="41">
        <f>round(F47*10%,0)</f>
        <v>2440279</v>
      </c>
    </row>
    <row r="49">
      <c r="A49" s="33" t="s">
        <v>16</v>
      </c>
      <c r="B49" s="31"/>
      <c r="C49" s="32"/>
      <c r="D49" s="39"/>
      <c r="E49" s="90"/>
      <c r="F49" s="41">
        <f>F47+F48</f>
        <v>26843072</v>
      </c>
    </row>
    <row r="55">
      <c r="A55" s="52" t="s">
        <v>169</v>
      </c>
    </row>
    <row r="56">
      <c r="A56" s="53"/>
      <c r="B56" s="53"/>
      <c r="C56" s="53"/>
      <c r="D56" s="53"/>
      <c r="E56" s="53"/>
      <c r="F56" s="53"/>
    </row>
    <row r="57">
      <c r="A57" s="9" t="s">
        <v>4</v>
      </c>
      <c r="B57" s="9" t="s">
        <v>5</v>
      </c>
      <c r="C57" s="9" t="s">
        <v>6</v>
      </c>
      <c r="D57" s="9" t="s">
        <v>7</v>
      </c>
      <c r="E57" s="9" t="s">
        <v>8</v>
      </c>
      <c r="F57" s="9" t="s">
        <v>9</v>
      </c>
    </row>
    <row r="58">
      <c r="A58" s="13">
        <v>1.0</v>
      </c>
      <c r="B58" s="54" t="s">
        <v>170</v>
      </c>
      <c r="C58" s="55">
        <v>46143.0</v>
      </c>
      <c r="D58" s="22">
        <v>1007.05</v>
      </c>
      <c r="E58" s="56"/>
      <c r="F58" s="28"/>
    </row>
    <row r="59">
      <c r="A59" s="30" t="s">
        <v>113</v>
      </c>
      <c r="B59" s="31"/>
      <c r="C59" s="32"/>
      <c r="D59" s="24">
        <f>round(D58*10%,2)</f>
        <v>100.71</v>
      </c>
      <c r="E59" s="57"/>
      <c r="F59" s="28"/>
    </row>
    <row r="60">
      <c r="A60" s="30" t="s">
        <v>106</v>
      </c>
      <c r="B60" s="31"/>
      <c r="C60" s="32"/>
      <c r="D60" s="24">
        <f>round(D58*10%,2)</f>
        <v>100.71</v>
      </c>
      <c r="E60" s="57"/>
      <c r="F60" s="28"/>
    </row>
    <row r="61">
      <c r="A61" s="33" t="s">
        <v>9</v>
      </c>
      <c r="B61" s="31"/>
      <c r="C61" s="32"/>
      <c r="D61" s="39">
        <f>D58-D59+D60</f>
        <v>1007.05</v>
      </c>
      <c r="E61" s="90">
        <v>26395.0</v>
      </c>
      <c r="F61" s="41">
        <f>round(D61*E61,0)</f>
        <v>26581085</v>
      </c>
    </row>
    <row r="62">
      <c r="A62" s="33" t="s">
        <v>26</v>
      </c>
      <c r="B62" s="31"/>
      <c r="C62" s="32"/>
      <c r="D62" s="39"/>
      <c r="E62" s="90"/>
      <c r="F62" s="41">
        <f>round(F61*10%,0)</f>
        <v>2658109</v>
      </c>
    </row>
    <row r="63">
      <c r="A63" s="33" t="s">
        <v>16</v>
      </c>
      <c r="B63" s="31"/>
      <c r="C63" s="32"/>
      <c r="D63" s="39"/>
      <c r="E63" s="90"/>
      <c r="F63" s="41">
        <f>F61+F62</f>
        <v>29239194</v>
      </c>
    </row>
    <row r="69">
      <c r="A69" s="52" t="s">
        <v>169</v>
      </c>
    </row>
    <row r="70">
      <c r="A70" s="53"/>
      <c r="B70" s="53"/>
      <c r="C70" s="53"/>
      <c r="D70" s="53"/>
      <c r="E70" s="53"/>
      <c r="F70" s="53"/>
    </row>
    <row r="71">
      <c r="A71" s="9" t="s">
        <v>4</v>
      </c>
      <c r="B71" s="9" t="s">
        <v>5</v>
      </c>
      <c r="C71" s="9" t="s">
        <v>6</v>
      </c>
      <c r="D71" s="9" t="s">
        <v>7</v>
      </c>
      <c r="E71" s="9" t="s">
        <v>8</v>
      </c>
      <c r="F71" s="9" t="s">
        <v>9</v>
      </c>
    </row>
    <row r="72">
      <c r="A72" s="13">
        <v>1.0</v>
      </c>
      <c r="B72" s="54" t="s">
        <v>170</v>
      </c>
      <c r="C72" s="55">
        <v>46174.0</v>
      </c>
      <c r="D72" s="22">
        <v>968.07</v>
      </c>
      <c r="E72" s="56"/>
      <c r="F72" s="28"/>
    </row>
    <row r="73">
      <c r="A73" s="30" t="s">
        <v>113</v>
      </c>
      <c r="B73" s="31"/>
      <c r="C73" s="32"/>
      <c r="D73" s="24">
        <f>round(D72*10%,2)</f>
        <v>96.81</v>
      </c>
      <c r="E73" s="57"/>
      <c r="F73" s="28"/>
    </row>
    <row r="74">
      <c r="A74" s="30" t="s">
        <v>106</v>
      </c>
      <c r="B74" s="31"/>
      <c r="C74" s="32"/>
      <c r="D74" s="24">
        <f>round(D72*10%,2)</f>
        <v>96.81</v>
      </c>
      <c r="E74" s="57"/>
      <c r="F74" s="28"/>
    </row>
    <row r="75">
      <c r="A75" s="33" t="s">
        <v>9</v>
      </c>
      <c r="B75" s="31"/>
      <c r="C75" s="32"/>
      <c r="D75" s="39">
        <f>D72-D73+D74</f>
        <v>968.07</v>
      </c>
      <c r="E75" s="90">
        <v>26466.0</v>
      </c>
      <c r="F75" s="41">
        <f>round(D75*E75,0)</f>
        <v>25620941</v>
      </c>
    </row>
    <row r="76">
      <c r="A76" s="33" t="s">
        <v>26</v>
      </c>
      <c r="B76" s="31"/>
      <c r="C76" s="32"/>
      <c r="D76" s="39"/>
      <c r="E76" s="90"/>
      <c r="F76" s="41">
        <f>round(F75*10%,0)</f>
        <v>2562094</v>
      </c>
    </row>
    <row r="77">
      <c r="A77" s="33" t="s">
        <v>16</v>
      </c>
      <c r="B77" s="31"/>
      <c r="C77" s="32"/>
      <c r="D77" s="39"/>
      <c r="E77" s="90"/>
      <c r="F77" s="41">
        <f>F75+F76</f>
        <v>28183035</v>
      </c>
    </row>
    <row r="83">
      <c r="A83" s="52" t="s">
        <v>169</v>
      </c>
    </row>
    <row r="84">
      <c r="A84" s="53"/>
      <c r="B84" s="53"/>
      <c r="C84" s="53"/>
      <c r="D84" s="53"/>
      <c r="E84" s="53"/>
      <c r="F84" s="53"/>
    </row>
    <row r="85">
      <c r="A85" s="9" t="s">
        <v>4</v>
      </c>
      <c r="B85" s="9" t="s">
        <v>5</v>
      </c>
      <c r="C85" s="9" t="s">
        <v>6</v>
      </c>
      <c r="D85" s="9" t="s">
        <v>7</v>
      </c>
      <c r="E85" s="9" t="s">
        <v>8</v>
      </c>
      <c r="F85" s="9" t="s">
        <v>9</v>
      </c>
    </row>
    <row r="86">
      <c r="A86" s="13">
        <v>1.0</v>
      </c>
      <c r="B86" s="54" t="s">
        <v>170</v>
      </c>
      <c r="C86" s="55">
        <v>46204.0</v>
      </c>
      <c r="D86" s="22">
        <v>807.01</v>
      </c>
      <c r="E86" s="56"/>
      <c r="F86" s="28"/>
    </row>
    <row r="87">
      <c r="A87" s="30" t="s">
        <v>113</v>
      </c>
      <c r="B87" s="31"/>
      <c r="C87" s="32"/>
      <c r="D87" s="24">
        <f>round(D86*10%,2)</f>
        <v>80.7</v>
      </c>
      <c r="E87" s="57"/>
      <c r="F87" s="28"/>
    </row>
    <row r="88">
      <c r="A88" s="30" t="s">
        <v>106</v>
      </c>
      <c r="B88" s="31"/>
      <c r="C88" s="32"/>
      <c r="D88" s="24">
        <f>round(D86*10%,2)</f>
        <v>80.7</v>
      </c>
      <c r="E88" s="57"/>
      <c r="F88" s="28"/>
    </row>
    <row r="89">
      <c r="A89" s="33" t="s">
        <v>9</v>
      </c>
      <c r="B89" s="31"/>
      <c r="C89" s="32"/>
      <c r="D89" s="39">
        <f>D86-D87+D88</f>
        <v>807.01</v>
      </c>
      <c r="E89" s="90">
        <v>26475.0</v>
      </c>
      <c r="F89" s="41">
        <f>round(D89*E89,0)</f>
        <v>21365590</v>
      </c>
    </row>
    <row r="90">
      <c r="A90" s="33" t="s">
        <v>26</v>
      </c>
      <c r="B90" s="31"/>
      <c r="C90" s="32"/>
      <c r="D90" s="39"/>
      <c r="E90" s="90"/>
      <c r="F90" s="41">
        <f>round(F89*10%,0)</f>
        <v>2136559</v>
      </c>
    </row>
    <row r="91">
      <c r="A91" s="33" t="s">
        <v>16</v>
      </c>
      <c r="B91" s="31"/>
      <c r="C91" s="32"/>
      <c r="D91" s="39"/>
      <c r="E91" s="90"/>
      <c r="F91" s="41">
        <f>F89+F90</f>
        <v>23502149</v>
      </c>
    </row>
  </sheetData>
  <mergeCells count="42">
    <mergeCell ref="A1:F1"/>
    <mergeCell ref="A5:C5"/>
    <mergeCell ref="A6:C6"/>
    <mergeCell ref="A7:C7"/>
    <mergeCell ref="A8:C8"/>
    <mergeCell ref="A9:C9"/>
    <mergeCell ref="A14:F14"/>
    <mergeCell ref="A18:C18"/>
    <mergeCell ref="A19:C19"/>
    <mergeCell ref="A20:C20"/>
    <mergeCell ref="A21:C21"/>
    <mergeCell ref="A22:C22"/>
    <mergeCell ref="A28:F28"/>
    <mergeCell ref="A32:C32"/>
    <mergeCell ref="A33:C33"/>
    <mergeCell ref="A34:C34"/>
    <mergeCell ref="A35:C35"/>
    <mergeCell ref="A36:C36"/>
    <mergeCell ref="A41:F41"/>
    <mergeCell ref="A45:C45"/>
    <mergeCell ref="A46:C46"/>
    <mergeCell ref="A47:C47"/>
    <mergeCell ref="A48:C48"/>
    <mergeCell ref="A49:C49"/>
    <mergeCell ref="A55:F55"/>
    <mergeCell ref="A59:C59"/>
    <mergeCell ref="A60:C60"/>
    <mergeCell ref="A61:C61"/>
    <mergeCell ref="A77:C77"/>
    <mergeCell ref="A83:F83"/>
    <mergeCell ref="A87:C87"/>
    <mergeCell ref="A88:C88"/>
    <mergeCell ref="A89:C89"/>
    <mergeCell ref="A90:C90"/>
    <mergeCell ref="A91:C91"/>
    <mergeCell ref="A62:C62"/>
    <mergeCell ref="A63:C63"/>
    <mergeCell ref="A69:F69"/>
    <mergeCell ref="A73:C73"/>
    <mergeCell ref="A74:C74"/>
    <mergeCell ref="A75:C75"/>
    <mergeCell ref="A76:C76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9.0"/>
    <col customWidth="1" min="3" max="3" width="11.63"/>
    <col customWidth="1" min="4" max="4" width="21.0"/>
    <col customWidth="1" min="5" max="5" width="11.75"/>
    <col customWidth="1" min="6" max="6" width="18.63"/>
  </cols>
  <sheetData>
    <row r="1">
      <c r="A1" s="52" t="s">
        <v>171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172</v>
      </c>
      <c r="C4" s="55">
        <v>46082.0</v>
      </c>
      <c r="D4" s="22">
        <v>103.29</v>
      </c>
      <c r="E4" s="56"/>
      <c r="F4" s="28"/>
    </row>
    <row r="5">
      <c r="A5" s="30" t="s">
        <v>113</v>
      </c>
      <c r="B5" s="31"/>
      <c r="C5" s="32"/>
      <c r="D5" s="24">
        <f>round(D4*10%,2)</f>
        <v>10.33</v>
      </c>
      <c r="E5" s="57"/>
      <c r="F5" s="28"/>
    </row>
    <row r="6">
      <c r="A6" s="30" t="s">
        <v>104</v>
      </c>
      <c r="B6" s="31"/>
      <c r="C6" s="32"/>
      <c r="D6" s="24">
        <f>round(D4*5.26%,2)</f>
        <v>5.43</v>
      </c>
      <c r="E6" s="57"/>
      <c r="F6" s="28"/>
    </row>
    <row r="7">
      <c r="A7" s="33" t="s">
        <v>9</v>
      </c>
      <c r="B7" s="31"/>
      <c r="C7" s="32"/>
      <c r="D7" s="39">
        <f>D4-D5+D6</f>
        <v>98.39</v>
      </c>
      <c r="E7" s="90">
        <v>26357.0</v>
      </c>
      <c r="F7" s="41">
        <f>round(D7*E7,0)</f>
        <v>2593265</v>
      </c>
    </row>
    <row r="8">
      <c r="A8" s="33" t="s">
        <v>26</v>
      </c>
      <c r="B8" s="31"/>
      <c r="C8" s="32"/>
      <c r="D8" s="39"/>
      <c r="E8" s="90"/>
      <c r="F8" s="41">
        <f>round(F7*10%,0)</f>
        <v>259327</v>
      </c>
    </row>
    <row r="9">
      <c r="A9" s="33" t="s">
        <v>16</v>
      </c>
      <c r="B9" s="31"/>
      <c r="C9" s="32"/>
      <c r="D9" s="39"/>
      <c r="E9" s="90"/>
      <c r="F9" s="41">
        <f>F7+F8</f>
        <v>2852592</v>
      </c>
    </row>
    <row r="15">
      <c r="A15" s="52" t="s">
        <v>171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172</v>
      </c>
      <c r="C18" s="55">
        <v>46113.0</v>
      </c>
      <c r="D18" s="22">
        <v>145.27</v>
      </c>
      <c r="E18" s="56"/>
      <c r="F18" s="28"/>
    </row>
    <row r="19">
      <c r="A19" s="30" t="s">
        <v>113</v>
      </c>
      <c r="B19" s="31"/>
      <c r="C19" s="32"/>
      <c r="D19" s="24">
        <f>round(D18*10%,2)</f>
        <v>14.53</v>
      </c>
      <c r="E19" s="57"/>
      <c r="F19" s="28"/>
    </row>
    <row r="20">
      <c r="A20" s="30" t="s">
        <v>104</v>
      </c>
      <c r="B20" s="31"/>
      <c r="C20" s="32"/>
      <c r="D20" s="24">
        <f>round(D18*5.26%,2)</f>
        <v>7.64</v>
      </c>
      <c r="E20" s="57"/>
      <c r="F20" s="28"/>
    </row>
    <row r="21">
      <c r="A21" s="33" t="s">
        <v>9</v>
      </c>
      <c r="B21" s="31"/>
      <c r="C21" s="32"/>
      <c r="D21" s="39">
        <f>D18-D19+D20</f>
        <v>138.38</v>
      </c>
      <c r="E21" s="90">
        <v>26368.0</v>
      </c>
      <c r="F21" s="41">
        <f>round(D21*E21,0)</f>
        <v>3648804</v>
      </c>
    </row>
    <row r="22">
      <c r="A22" s="33" t="s">
        <v>26</v>
      </c>
      <c r="B22" s="31"/>
      <c r="C22" s="32"/>
      <c r="D22" s="39"/>
      <c r="E22" s="90"/>
      <c r="F22" s="41">
        <f>round(F21*10%,0)</f>
        <v>364880</v>
      </c>
    </row>
    <row r="23">
      <c r="A23" s="33" t="s">
        <v>16</v>
      </c>
      <c r="B23" s="31"/>
      <c r="C23" s="32"/>
      <c r="D23" s="39"/>
      <c r="E23" s="90"/>
      <c r="F23" s="41">
        <f>F21+F22</f>
        <v>4013684</v>
      </c>
    </row>
    <row r="29">
      <c r="A29" s="52" t="s">
        <v>171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172</v>
      </c>
      <c r="C32" s="55">
        <v>46143.0</v>
      </c>
      <c r="D32" s="22">
        <v>151.12</v>
      </c>
      <c r="E32" s="56"/>
      <c r="F32" s="28"/>
    </row>
    <row r="33">
      <c r="A33" s="30" t="s">
        <v>113</v>
      </c>
      <c r="B33" s="31"/>
      <c r="C33" s="32"/>
      <c r="D33" s="24">
        <f>round(D32*10%,2)</f>
        <v>15.11</v>
      </c>
      <c r="E33" s="57"/>
      <c r="F33" s="28"/>
    </row>
    <row r="34">
      <c r="A34" s="30" t="s">
        <v>104</v>
      </c>
      <c r="B34" s="31"/>
      <c r="C34" s="32"/>
      <c r="D34" s="24">
        <f>round(D32*5.26%,2)</f>
        <v>7.95</v>
      </c>
      <c r="E34" s="57"/>
      <c r="F34" s="28"/>
    </row>
    <row r="35">
      <c r="A35" s="33" t="s">
        <v>9</v>
      </c>
      <c r="B35" s="31"/>
      <c r="C35" s="32"/>
      <c r="D35" s="39">
        <f>D32-D33+D34</f>
        <v>143.96</v>
      </c>
      <c r="E35" s="90">
        <v>26395.0</v>
      </c>
      <c r="F35" s="41">
        <f>round(D35*E35,0)</f>
        <v>3799824</v>
      </c>
    </row>
    <row r="36">
      <c r="A36" s="33" t="s">
        <v>26</v>
      </c>
      <c r="B36" s="31"/>
      <c r="C36" s="32"/>
      <c r="D36" s="39"/>
      <c r="E36" s="90"/>
      <c r="F36" s="41">
        <f>round(F35*10%,0)</f>
        <v>379982</v>
      </c>
    </row>
    <row r="37">
      <c r="A37" s="33" t="s">
        <v>16</v>
      </c>
      <c r="B37" s="31"/>
      <c r="C37" s="32"/>
      <c r="D37" s="39"/>
      <c r="E37" s="90"/>
      <c r="F37" s="41">
        <f>F35+F36</f>
        <v>4179806</v>
      </c>
    </row>
    <row r="42">
      <c r="A42" s="52" t="s">
        <v>171</v>
      </c>
    </row>
    <row r="43">
      <c r="A43" s="53"/>
      <c r="B43" s="53"/>
      <c r="C43" s="53"/>
      <c r="D43" s="53"/>
      <c r="E43" s="53"/>
      <c r="F43" s="53"/>
    </row>
    <row r="44">
      <c r="A44" s="9" t="s">
        <v>4</v>
      </c>
      <c r="B44" s="9" t="s">
        <v>5</v>
      </c>
      <c r="C44" s="9" t="s">
        <v>6</v>
      </c>
      <c r="D44" s="9" t="s">
        <v>7</v>
      </c>
      <c r="E44" s="9" t="s">
        <v>8</v>
      </c>
      <c r="F44" s="9" t="s">
        <v>9</v>
      </c>
    </row>
    <row r="45">
      <c r="A45" s="13">
        <v>1.0</v>
      </c>
      <c r="B45" s="54" t="s">
        <v>172</v>
      </c>
      <c r="C45" s="55">
        <v>46174.0</v>
      </c>
      <c r="D45" s="22">
        <v>151.8</v>
      </c>
      <c r="E45" s="56"/>
      <c r="F45" s="28"/>
    </row>
    <row r="46">
      <c r="A46" s="30" t="s">
        <v>113</v>
      </c>
      <c r="B46" s="31"/>
      <c r="C46" s="32"/>
      <c r="D46" s="24">
        <f>round(D45*10%,2)</f>
        <v>15.18</v>
      </c>
      <c r="E46" s="57"/>
      <c r="F46" s="28"/>
    </row>
    <row r="47">
      <c r="A47" s="30" t="s">
        <v>104</v>
      </c>
      <c r="B47" s="31"/>
      <c r="C47" s="32"/>
      <c r="D47" s="24">
        <f>round(D45*5.26%,2)</f>
        <v>7.98</v>
      </c>
      <c r="E47" s="57"/>
      <c r="F47" s="28"/>
    </row>
    <row r="48">
      <c r="A48" s="33" t="s">
        <v>9</v>
      </c>
      <c r="B48" s="31"/>
      <c r="C48" s="32"/>
      <c r="D48" s="39">
        <f>D45-D46+D47</f>
        <v>144.6</v>
      </c>
      <c r="E48" s="90">
        <v>26466.0</v>
      </c>
      <c r="F48" s="41">
        <f>round(D48*E48,0)</f>
        <v>3826984</v>
      </c>
    </row>
    <row r="49">
      <c r="A49" s="33" t="s">
        <v>26</v>
      </c>
      <c r="B49" s="31"/>
      <c r="C49" s="32"/>
      <c r="D49" s="39"/>
      <c r="E49" s="90"/>
      <c r="F49" s="41">
        <f>round(F48*10%,0)</f>
        <v>382698</v>
      </c>
    </row>
    <row r="50">
      <c r="A50" s="33" t="s">
        <v>16</v>
      </c>
      <c r="B50" s="31"/>
      <c r="C50" s="32"/>
      <c r="D50" s="39"/>
      <c r="E50" s="90"/>
      <c r="F50" s="41">
        <f>F48+F49</f>
        <v>4209682</v>
      </c>
    </row>
    <row r="56">
      <c r="A56" s="52" t="s">
        <v>171</v>
      </c>
    </row>
    <row r="57">
      <c r="A57" s="53"/>
      <c r="B57" s="53"/>
      <c r="C57" s="53"/>
      <c r="D57" s="53"/>
      <c r="E57" s="53"/>
      <c r="F57" s="53"/>
    </row>
    <row r="58">
      <c r="A58" s="9" t="s">
        <v>4</v>
      </c>
      <c r="B58" s="9" t="s">
        <v>5</v>
      </c>
      <c r="C58" s="9" t="s">
        <v>6</v>
      </c>
      <c r="D58" s="9" t="s">
        <v>7</v>
      </c>
      <c r="E58" s="9" t="s">
        <v>8</v>
      </c>
      <c r="F58" s="9" t="s">
        <v>9</v>
      </c>
    </row>
    <row r="59">
      <c r="A59" s="13">
        <v>1.0</v>
      </c>
      <c r="B59" s="54" t="s">
        <v>172</v>
      </c>
      <c r="C59" s="55">
        <v>46204.0</v>
      </c>
      <c r="D59" s="22">
        <v>140.87</v>
      </c>
      <c r="E59" s="56"/>
      <c r="F59" s="28"/>
    </row>
    <row r="60">
      <c r="A60" s="30" t="s">
        <v>113</v>
      </c>
      <c r="B60" s="31"/>
      <c r="C60" s="32"/>
      <c r="D60" s="24">
        <f>round(D59*10%,2)</f>
        <v>14.09</v>
      </c>
      <c r="E60" s="57"/>
      <c r="F60" s="28"/>
    </row>
    <row r="61">
      <c r="A61" s="30" t="s">
        <v>134</v>
      </c>
      <c r="B61" s="31"/>
      <c r="C61" s="32"/>
      <c r="D61" s="24">
        <f>round(D59*5.88%,2)</f>
        <v>8.28</v>
      </c>
      <c r="E61" s="57"/>
      <c r="F61" s="28"/>
    </row>
    <row r="62">
      <c r="A62" s="33" t="s">
        <v>9</v>
      </c>
      <c r="B62" s="31"/>
      <c r="C62" s="32"/>
      <c r="D62" s="39">
        <f>D59-D60+D61</f>
        <v>135.06</v>
      </c>
      <c r="E62" s="90">
        <v>26475.0</v>
      </c>
      <c r="F62" s="41">
        <f>round(D62*E62,0)</f>
        <v>3575714</v>
      </c>
    </row>
    <row r="63">
      <c r="A63" s="33" t="s">
        <v>26</v>
      </c>
      <c r="B63" s="31"/>
      <c r="C63" s="32"/>
      <c r="D63" s="39"/>
      <c r="E63" s="90"/>
      <c r="F63" s="41">
        <f>round(F62*10%,0)</f>
        <v>357571</v>
      </c>
    </row>
    <row r="64">
      <c r="A64" s="33" t="s">
        <v>16</v>
      </c>
      <c r="B64" s="31"/>
      <c r="C64" s="32"/>
      <c r="D64" s="39"/>
      <c r="E64" s="90"/>
      <c r="F64" s="41">
        <f>F62+F63</f>
        <v>3933285</v>
      </c>
    </row>
  </sheetData>
  <mergeCells count="30"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29:F29"/>
    <mergeCell ref="A33:C33"/>
    <mergeCell ref="A34:C34"/>
    <mergeCell ref="A35:C35"/>
    <mergeCell ref="A36:C36"/>
    <mergeCell ref="A37:C37"/>
    <mergeCell ref="A42:F42"/>
    <mergeCell ref="A46:C46"/>
    <mergeCell ref="A47:C47"/>
    <mergeCell ref="A63:C63"/>
    <mergeCell ref="A64:C64"/>
    <mergeCell ref="A48:C48"/>
    <mergeCell ref="A49:C49"/>
    <mergeCell ref="A50:C50"/>
    <mergeCell ref="A56:F56"/>
    <mergeCell ref="A60:C60"/>
    <mergeCell ref="A61:C61"/>
    <mergeCell ref="A62:C62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50.25"/>
    <col customWidth="1" min="3" max="3" width="11.63"/>
    <col customWidth="1" min="4" max="4" width="21.0"/>
    <col customWidth="1" min="5" max="5" width="11.75"/>
    <col customWidth="1" min="6" max="6" width="18.63"/>
  </cols>
  <sheetData>
    <row r="1">
      <c r="A1" s="52" t="s">
        <v>173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174</v>
      </c>
      <c r="C4" s="55">
        <v>46174.0</v>
      </c>
      <c r="D4" s="22">
        <v>107.84</v>
      </c>
      <c r="E4" s="56"/>
      <c r="F4" s="28"/>
    </row>
    <row r="5">
      <c r="A5" s="30" t="s">
        <v>113</v>
      </c>
      <c r="B5" s="31"/>
      <c r="C5" s="32"/>
      <c r="D5" s="24">
        <f>round(D4*10%,2)</f>
        <v>10.78</v>
      </c>
      <c r="E5" s="57"/>
      <c r="F5" s="28"/>
    </row>
    <row r="6">
      <c r="A6" s="30" t="s">
        <v>104</v>
      </c>
      <c r="B6" s="31"/>
      <c r="C6" s="32"/>
      <c r="D6" s="24">
        <f>round(D4*5.26%,2)</f>
        <v>5.67</v>
      </c>
      <c r="E6" s="57"/>
      <c r="F6" s="28"/>
    </row>
    <row r="7">
      <c r="A7" s="33" t="s">
        <v>9</v>
      </c>
      <c r="B7" s="31"/>
      <c r="C7" s="32"/>
      <c r="D7" s="39">
        <f>D4-D5+D6</f>
        <v>102.73</v>
      </c>
      <c r="E7" s="90">
        <v>26466.0</v>
      </c>
      <c r="F7" s="41">
        <f>round(D7*E7,0)</f>
        <v>2718852</v>
      </c>
    </row>
    <row r="8">
      <c r="A8" s="33" t="s">
        <v>26</v>
      </c>
      <c r="B8" s="31"/>
      <c r="C8" s="32"/>
      <c r="D8" s="39"/>
      <c r="E8" s="90"/>
      <c r="F8" s="41">
        <f>round(F7*10%,0)</f>
        <v>271885</v>
      </c>
    </row>
    <row r="9">
      <c r="A9" s="33" t="s">
        <v>16</v>
      </c>
      <c r="B9" s="31"/>
      <c r="C9" s="32"/>
      <c r="D9" s="39"/>
      <c r="E9" s="90"/>
      <c r="F9" s="41">
        <f>F7+F8</f>
        <v>2990737</v>
      </c>
    </row>
    <row r="14">
      <c r="A14" s="52" t="s">
        <v>173</v>
      </c>
    </row>
    <row r="15">
      <c r="A15" s="53"/>
      <c r="B15" s="53"/>
      <c r="C15" s="53"/>
      <c r="D15" s="53"/>
      <c r="E15" s="53"/>
      <c r="F15" s="53"/>
    </row>
    <row r="16">
      <c r="A16" s="9" t="s">
        <v>4</v>
      </c>
      <c r="B16" s="9" t="s">
        <v>5</v>
      </c>
      <c r="C16" s="9" t="s">
        <v>6</v>
      </c>
      <c r="D16" s="9" t="s">
        <v>7</v>
      </c>
      <c r="E16" s="9" t="s">
        <v>8</v>
      </c>
      <c r="F16" s="9" t="s">
        <v>9</v>
      </c>
    </row>
    <row r="17">
      <c r="A17" s="13">
        <v>1.0</v>
      </c>
      <c r="B17" s="54" t="s">
        <v>174</v>
      </c>
      <c r="C17" s="55">
        <v>46204.0</v>
      </c>
      <c r="D17" s="22">
        <v>134.2</v>
      </c>
      <c r="E17" s="56"/>
      <c r="F17" s="28"/>
    </row>
    <row r="18">
      <c r="A18" s="30" t="s">
        <v>113</v>
      </c>
      <c r="B18" s="31"/>
      <c r="C18" s="32"/>
      <c r="D18" s="24">
        <f>round(D17*10%,2)</f>
        <v>13.42</v>
      </c>
      <c r="E18" s="57"/>
      <c r="F18" s="28"/>
    </row>
    <row r="19">
      <c r="A19" s="30" t="s">
        <v>134</v>
      </c>
      <c r="B19" s="31"/>
      <c r="C19" s="32"/>
      <c r="D19" s="24">
        <f>round(D17*5.88%,2)</f>
        <v>7.89</v>
      </c>
      <c r="E19" s="57"/>
      <c r="F19" s="28"/>
    </row>
    <row r="20">
      <c r="A20" s="33" t="s">
        <v>9</v>
      </c>
      <c r="B20" s="31"/>
      <c r="C20" s="32"/>
      <c r="D20" s="39">
        <f>D17-D18+D19</f>
        <v>128.67</v>
      </c>
      <c r="E20" s="90">
        <v>26475.0</v>
      </c>
      <c r="F20" s="41">
        <f>round(D20*E20,0)</f>
        <v>3406538</v>
      </c>
    </row>
    <row r="21">
      <c r="A21" s="33" t="s">
        <v>26</v>
      </c>
      <c r="B21" s="31"/>
      <c r="C21" s="32"/>
      <c r="D21" s="39"/>
      <c r="E21" s="90"/>
      <c r="F21" s="41">
        <f>round(F20*10%,0)</f>
        <v>340654</v>
      </c>
    </row>
    <row r="22">
      <c r="A22" s="33" t="s">
        <v>16</v>
      </c>
      <c r="B22" s="31"/>
      <c r="C22" s="32"/>
      <c r="D22" s="39"/>
      <c r="E22" s="90"/>
      <c r="F22" s="41">
        <f>F20+F21</f>
        <v>3747192</v>
      </c>
    </row>
  </sheetData>
  <mergeCells count="12">
    <mergeCell ref="A18:C18"/>
    <mergeCell ref="A19:C19"/>
    <mergeCell ref="A20:C20"/>
    <mergeCell ref="A21:C21"/>
    <mergeCell ref="A22:C22"/>
    <mergeCell ref="A1:F1"/>
    <mergeCell ref="A5:C5"/>
    <mergeCell ref="A6:C6"/>
    <mergeCell ref="A7:C7"/>
    <mergeCell ref="A8:C8"/>
    <mergeCell ref="A9:C9"/>
    <mergeCell ref="A14:F14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9.0"/>
    <col customWidth="1" min="3" max="3" width="11.63"/>
    <col customWidth="1" min="4" max="4" width="21.0"/>
    <col customWidth="1" min="5" max="5" width="11.75"/>
    <col customWidth="1" min="6" max="6" width="18.63"/>
  </cols>
  <sheetData>
    <row r="1">
      <c r="A1" s="52" t="s">
        <v>175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176</v>
      </c>
      <c r="C4" s="55">
        <v>46143.0</v>
      </c>
      <c r="D4" s="22">
        <v>126.42</v>
      </c>
      <c r="E4" s="56"/>
      <c r="F4" s="28"/>
    </row>
    <row r="5">
      <c r="A5" s="30" t="s">
        <v>113</v>
      </c>
      <c r="B5" s="31"/>
      <c r="C5" s="32"/>
      <c r="D5" s="24">
        <f>round(D4*10%,2)</f>
        <v>12.64</v>
      </c>
      <c r="E5" s="57"/>
      <c r="F5" s="28"/>
    </row>
    <row r="6">
      <c r="A6" s="30" t="s">
        <v>104</v>
      </c>
      <c r="B6" s="31"/>
      <c r="C6" s="32"/>
      <c r="D6" s="24">
        <f>round(D4*5.26%,2)</f>
        <v>6.65</v>
      </c>
      <c r="E6" s="57"/>
      <c r="F6" s="28"/>
    </row>
    <row r="7">
      <c r="A7" s="33" t="s">
        <v>9</v>
      </c>
      <c r="B7" s="31"/>
      <c r="C7" s="32"/>
      <c r="D7" s="39">
        <f>D4-D5+D6</f>
        <v>120.43</v>
      </c>
      <c r="E7" s="90">
        <v>26395.0</v>
      </c>
      <c r="F7" s="41">
        <f>round(D7*E7,0)</f>
        <v>3178750</v>
      </c>
    </row>
    <row r="8">
      <c r="A8" s="33" t="s">
        <v>26</v>
      </c>
      <c r="B8" s="31"/>
      <c r="C8" s="32"/>
      <c r="D8" s="39"/>
      <c r="E8" s="90"/>
      <c r="F8" s="41">
        <f>round(F7*10%,0)</f>
        <v>317875</v>
      </c>
    </row>
    <row r="9">
      <c r="A9" s="33" t="s">
        <v>16</v>
      </c>
      <c r="B9" s="31"/>
      <c r="C9" s="32"/>
      <c r="D9" s="39"/>
      <c r="E9" s="90"/>
      <c r="F9" s="41">
        <f>F7+F8</f>
        <v>3496625</v>
      </c>
    </row>
    <row r="15">
      <c r="A15" s="52" t="s">
        <v>175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176</v>
      </c>
      <c r="C18" s="55">
        <v>46174.0</v>
      </c>
      <c r="D18" s="22">
        <v>133.57</v>
      </c>
      <c r="E18" s="56"/>
      <c r="F18" s="28"/>
    </row>
    <row r="19">
      <c r="A19" s="30" t="s">
        <v>113</v>
      </c>
      <c r="B19" s="31"/>
      <c r="C19" s="32"/>
      <c r="D19" s="24">
        <f>round(D18*10%,2)</f>
        <v>13.36</v>
      </c>
      <c r="E19" s="57"/>
      <c r="F19" s="28"/>
    </row>
    <row r="20">
      <c r="A20" s="30" t="s">
        <v>104</v>
      </c>
      <c r="B20" s="31"/>
      <c r="C20" s="32"/>
      <c r="D20" s="24">
        <f>round(D18*5.26%,2)</f>
        <v>7.03</v>
      </c>
      <c r="E20" s="57"/>
      <c r="F20" s="28"/>
    </row>
    <row r="21">
      <c r="A21" s="33" t="s">
        <v>9</v>
      </c>
      <c r="B21" s="31"/>
      <c r="C21" s="32"/>
      <c r="D21" s="39">
        <f>D18-D19+D20</f>
        <v>127.24</v>
      </c>
      <c r="E21" s="90">
        <v>26466.0</v>
      </c>
      <c r="F21" s="41">
        <f>round(D21*E21,0)</f>
        <v>3367534</v>
      </c>
    </row>
    <row r="22">
      <c r="A22" s="33" t="s">
        <v>26</v>
      </c>
      <c r="B22" s="31"/>
      <c r="C22" s="32"/>
      <c r="D22" s="39"/>
      <c r="E22" s="90"/>
      <c r="F22" s="41">
        <f>round(F21*10%,0)</f>
        <v>336753</v>
      </c>
    </row>
    <row r="23">
      <c r="A23" s="33" t="s">
        <v>16</v>
      </c>
      <c r="B23" s="31"/>
      <c r="C23" s="32"/>
      <c r="D23" s="39"/>
      <c r="E23" s="90"/>
      <c r="F23" s="41">
        <f>F21+F22</f>
        <v>3704287</v>
      </c>
    </row>
    <row r="29">
      <c r="A29" s="52" t="s">
        <v>175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176</v>
      </c>
      <c r="C32" s="55">
        <v>46204.0</v>
      </c>
      <c r="D32" s="22">
        <v>133.57</v>
      </c>
      <c r="E32" s="56"/>
      <c r="F32" s="28"/>
    </row>
    <row r="33">
      <c r="A33" s="30" t="s">
        <v>113</v>
      </c>
      <c r="B33" s="31"/>
      <c r="C33" s="32"/>
      <c r="D33" s="24">
        <f>round(D32*10%,2)</f>
        <v>13.36</v>
      </c>
      <c r="E33" s="57"/>
      <c r="F33" s="28"/>
    </row>
    <row r="34">
      <c r="A34" s="30" t="s">
        <v>134</v>
      </c>
      <c r="B34" s="31"/>
      <c r="C34" s="32"/>
      <c r="D34" s="24">
        <f>round(D32*5.88%,2)</f>
        <v>7.85</v>
      </c>
      <c r="E34" s="57"/>
      <c r="F34" s="28"/>
    </row>
    <row r="35">
      <c r="A35" s="33" t="s">
        <v>9</v>
      </c>
      <c r="B35" s="31"/>
      <c r="C35" s="32"/>
      <c r="D35" s="39">
        <f>D32-D33+D34</f>
        <v>128.06</v>
      </c>
      <c r="E35" s="90">
        <v>26475.0</v>
      </c>
      <c r="F35" s="41">
        <f>round(D35*E35,0)</f>
        <v>3390389</v>
      </c>
    </row>
    <row r="36">
      <c r="A36" s="33" t="s">
        <v>26</v>
      </c>
      <c r="B36" s="31"/>
      <c r="C36" s="32"/>
      <c r="D36" s="39"/>
      <c r="E36" s="90"/>
      <c r="F36" s="41">
        <f>round(F35*10%,0)</f>
        <v>339039</v>
      </c>
    </row>
    <row r="37">
      <c r="A37" s="33" t="s">
        <v>16</v>
      </c>
      <c r="B37" s="31"/>
      <c r="C37" s="32"/>
      <c r="D37" s="39"/>
      <c r="E37" s="90"/>
      <c r="F37" s="41">
        <f>F35+F36</f>
        <v>3729428</v>
      </c>
    </row>
  </sheetData>
  <mergeCells count="18">
    <mergeCell ref="A1:F1"/>
    <mergeCell ref="A5:C5"/>
    <mergeCell ref="A6:C6"/>
    <mergeCell ref="A7:C7"/>
    <mergeCell ref="A8:C8"/>
    <mergeCell ref="A9:C9"/>
    <mergeCell ref="A15:F15"/>
    <mergeCell ref="A34:C34"/>
    <mergeCell ref="A35:C35"/>
    <mergeCell ref="A36:C36"/>
    <mergeCell ref="A37:C37"/>
    <mergeCell ref="A19:C19"/>
    <mergeCell ref="A20:C20"/>
    <mergeCell ref="A21:C21"/>
    <mergeCell ref="A22:C22"/>
    <mergeCell ref="A23:C23"/>
    <mergeCell ref="A29:F29"/>
    <mergeCell ref="A33:C33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63"/>
    <col customWidth="1" min="2" max="2" width="50.88"/>
    <col customWidth="1" min="4" max="4" width="19.0"/>
    <col customWidth="1" min="6" max="6" width="18.38"/>
  </cols>
  <sheetData>
    <row r="1">
      <c r="A1" s="52" t="s">
        <v>177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178</v>
      </c>
      <c r="C4" s="55">
        <v>45748.0</v>
      </c>
      <c r="D4" s="22">
        <v>316.88</v>
      </c>
      <c r="E4" s="56"/>
      <c r="F4" s="28"/>
    </row>
    <row r="5">
      <c r="A5" s="30" t="s">
        <v>104</v>
      </c>
      <c r="B5" s="31"/>
      <c r="C5" s="32"/>
      <c r="D5" s="24">
        <f>round(D4*5.26%,2)</f>
        <v>16.67</v>
      </c>
      <c r="E5" s="57"/>
      <c r="F5" s="28"/>
    </row>
    <row r="6">
      <c r="A6" s="30" t="s">
        <v>24</v>
      </c>
      <c r="B6" s="31"/>
      <c r="C6" s="32"/>
      <c r="D6" s="24">
        <f>round(D4*10%,2)</f>
        <v>31.69</v>
      </c>
      <c r="E6" s="57"/>
      <c r="F6" s="28"/>
    </row>
    <row r="7">
      <c r="A7" s="33" t="s">
        <v>9</v>
      </c>
      <c r="B7" s="31"/>
      <c r="C7" s="32"/>
      <c r="D7" s="39">
        <f>D4+D5-D6</f>
        <v>301.86</v>
      </c>
      <c r="E7" s="90">
        <v>26190.0</v>
      </c>
      <c r="F7" s="41">
        <f>round(D7*E7,0)</f>
        <v>7905713</v>
      </c>
    </row>
    <row r="8">
      <c r="A8" s="33" t="s">
        <v>26</v>
      </c>
      <c r="B8" s="31"/>
      <c r="C8" s="32"/>
      <c r="D8" s="39"/>
      <c r="E8" s="90"/>
      <c r="F8" s="41">
        <f>round(F7*10%,0)</f>
        <v>790571</v>
      </c>
    </row>
    <row r="9">
      <c r="A9" s="33" t="s">
        <v>16</v>
      </c>
      <c r="B9" s="31"/>
      <c r="C9" s="32"/>
      <c r="D9" s="39"/>
      <c r="E9" s="90"/>
      <c r="F9" s="41">
        <f>F7+F8</f>
        <v>8696284</v>
      </c>
    </row>
    <row r="13">
      <c r="A13" s="52" t="s">
        <v>177</v>
      </c>
    </row>
    <row r="14">
      <c r="A14" s="53"/>
      <c r="B14" s="53"/>
      <c r="C14" s="53"/>
      <c r="D14" s="53"/>
      <c r="E14" s="53"/>
      <c r="F14" s="53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>
      <c r="A16" s="13">
        <v>1.0</v>
      </c>
      <c r="B16" s="54" t="s">
        <v>178</v>
      </c>
      <c r="C16" s="55">
        <v>45778.0</v>
      </c>
      <c r="D16" s="22">
        <v>312.0</v>
      </c>
      <c r="E16" s="56"/>
      <c r="F16" s="28"/>
    </row>
    <row r="17">
      <c r="A17" s="30" t="s">
        <v>104</v>
      </c>
      <c r="B17" s="31"/>
      <c r="C17" s="32"/>
      <c r="D17" s="24">
        <f>round(D16*5.26%,2)</f>
        <v>16.41</v>
      </c>
      <c r="E17" s="57"/>
      <c r="F17" s="28"/>
    </row>
    <row r="18">
      <c r="A18" s="30" t="s">
        <v>24</v>
      </c>
      <c r="B18" s="31"/>
      <c r="C18" s="32"/>
      <c r="D18" s="24">
        <f>round(D16*10%,2)</f>
        <v>31.2</v>
      </c>
      <c r="E18" s="57"/>
      <c r="F18" s="28"/>
    </row>
    <row r="19">
      <c r="A19" s="33" t="s">
        <v>9</v>
      </c>
      <c r="B19" s="31"/>
      <c r="C19" s="32"/>
      <c r="D19" s="39">
        <f>D16+D17-D18</f>
        <v>297.21</v>
      </c>
      <c r="E19" s="90">
        <v>26225.0</v>
      </c>
      <c r="F19" s="41">
        <f>round(D19*E19,0)</f>
        <v>7794332</v>
      </c>
    </row>
    <row r="20">
      <c r="A20" s="33" t="s">
        <v>26</v>
      </c>
      <c r="B20" s="31"/>
      <c r="C20" s="32"/>
      <c r="D20" s="39"/>
      <c r="E20" s="90"/>
      <c r="F20" s="41">
        <f>round(F19*10%,0)</f>
        <v>779433</v>
      </c>
    </row>
    <row r="21">
      <c r="A21" s="33" t="s">
        <v>16</v>
      </c>
      <c r="B21" s="31"/>
      <c r="C21" s="32"/>
      <c r="D21" s="39"/>
      <c r="E21" s="90"/>
      <c r="F21" s="41">
        <f>F19+F20</f>
        <v>8573765</v>
      </c>
    </row>
    <row r="25">
      <c r="A25" s="52" t="s">
        <v>177</v>
      </c>
    </row>
    <row r="26">
      <c r="A26" s="53"/>
      <c r="B26" s="53"/>
      <c r="C26" s="53"/>
      <c r="D26" s="53"/>
      <c r="E26" s="53"/>
      <c r="F26" s="53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</row>
    <row r="28">
      <c r="A28" s="13">
        <v>1.0</v>
      </c>
      <c r="B28" s="54" t="s">
        <v>178</v>
      </c>
      <c r="C28" s="55">
        <v>45809.0</v>
      </c>
      <c r="D28" s="22">
        <v>340.19</v>
      </c>
      <c r="E28" s="56"/>
      <c r="F28" s="28"/>
    </row>
    <row r="29">
      <c r="A29" s="30" t="s">
        <v>104</v>
      </c>
      <c r="B29" s="31"/>
      <c r="C29" s="32"/>
      <c r="D29" s="24">
        <f>round(D28*5.26%,2)</f>
        <v>17.89</v>
      </c>
      <c r="E29" s="57"/>
      <c r="F29" s="28"/>
    </row>
    <row r="30">
      <c r="A30" s="30" t="s">
        <v>24</v>
      </c>
      <c r="B30" s="31"/>
      <c r="C30" s="32"/>
      <c r="D30" s="24">
        <f>round(D28*10%,2)</f>
        <v>34.02</v>
      </c>
      <c r="E30" s="57"/>
      <c r="F30" s="28"/>
    </row>
    <row r="31">
      <c r="A31" s="33" t="s">
        <v>9</v>
      </c>
      <c r="B31" s="31"/>
      <c r="C31" s="32"/>
      <c r="D31" s="39">
        <f>D28+D29-D30</f>
        <v>324.06</v>
      </c>
      <c r="E31" s="90">
        <v>26300.0</v>
      </c>
      <c r="F31" s="41">
        <f>round(D31*E31,0)</f>
        <v>8522778</v>
      </c>
    </row>
    <row r="32">
      <c r="A32" s="33" t="s">
        <v>26</v>
      </c>
      <c r="B32" s="31"/>
      <c r="C32" s="32"/>
      <c r="D32" s="39"/>
      <c r="E32" s="90"/>
      <c r="F32" s="41">
        <f>round(F31*10%,0)</f>
        <v>852278</v>
      </c>
    </row>
    <row r="33">
      <c r="A33" s="33" t="s">
        <v>16</v>
      </c>
      <c r="B33" s="31"/>
      <c r="C33" s="32"/>
      <c r="D33" s="39"/>
      <c r="E33" s="90"/>
      <c r="F33" s="41">
        <f>F31+F32</f>
        <v>9375056</v>
      </c>
    </row>
    <row r="37">
      <c r="A37" s="52" t="s">
        <v>177</v>
      </c>
    </row>
    <row r="38">
      <c r="A38" s="53"/>
      <c r="B38" s="53"/>
      <c r="C38" s="53"/>
      <c r="D38" s="53"/>
      <c r="E38" s="53"/>
      <c r="F38" s="53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</row>
    <row r="40">
      <c r="A40" s="13">
        <v>1.0</v>
      </c>
      <c r="B40" s="54" t="s">
        <v>178</v>
      </c>
      <c r="C40" s="55">
        <v>45839.0</v>
      </c>
      <c r="D40" s="22">
        <v>312.04</v>
      </c>
      <c r="E40" s="56"/>
      <c r="F40" s="28"/>
    </row>
    <row r="41">
      <c r="A41" s="30" t="s">
        <v>106</v>
      </c>
      <c r="B41" s="31"/>
      <c r="C41" s="32"/>
      <c r="D41" s="24">
        <f>round(D40*10%,2)</f>
        <v>31.2</v>
      </c>
      <c r="E41" s="57"/>
      <c r="F41" s="28"/>
    </row>
    <row r="42">
      <c r="A42" s="30" t="s">
        <v>24</v>
      </c>
      <c r="B42" s="31"/>
      <c r="C42" s="32"/>
      <c r="D42" s="24">
        <f>round(D40*10%,2)</f>
        <v>31.2</v>
      </c>
      <c r="E42" s="57"/>
      <c r="F42" s="28"/>
    </row>
    <row r="43">
      <c r="A43" s="33" t="s">
        <v>9</v>
      </c>
      <c r="B43" s="31"/>
      <c r="C43" s="32"/>
      <c r="D43" s="39">
        <f>D40+D41-D42</f>
        <v>312.04</v>
      </c>
      <c r="E43" s="90">
        <v>26382.0</v>
      </c>
      <c r="F43" s="41">
        <f>round(D43*E43,0)</f>
        <v>8232239</v>
      </c>
    </row>
    <row r="44">
      <c r="A44" s="33" t="s">
        <v>26</v>
      </c>
      <c r="B44" s="31"/>
      <c r="C44" s="32"/>
      <c r="D44" s="39"/>
      <c r="E44" s="90"/>
      <c r="F44" s="41">
        <f>round(F43*10%,0)</f>
        <v>823224</v>
      </c>
    </row>
    <row r="45">
      <c r="A45" s="33" t="s">
        <v>16</v>
      </c>
      <c r="B45" s="31"/>
      <c r="C45" s="32"/>
      <c r="D45" s="39"/>
      <c r="E45" s="90"/>
      <c r="F45" s="41">
        <f>F43+F44</f>
        <v>9055463</v>
      </c>
    </row>
    <row r="50">
      <c r="A50" s="52" t="s">
        <v>177</v>
      </c>
    </row>
    <row r="51">
      <c r="A51" s="53"/>
      <c r="B51" s="53"/>
      <c r="C51" s="53"/>
      <c r="D51" s="53"/>
      <c r="E51" s="53"/>
      <c r="F51" s="53"/>
    </row>
    <row r="52">
      <c r="A52" s="9" t="s">
        <v>4</v>
      </c>
      <c r="B52" s="9" t="s">
        <v>5</v>
      </c>
      <c r="C52" s="9" t="s">
        <v>6</v>
      </c>
      <c r="D52" s="9" t="s">
        <v>7</v>
      </c>
      <c r="E52" s="9" t="s">
        <v>8</v>
      </c>
      <c r="F52" s="9" t="s">
        <v>9</v>
      </c>
    </row>
    <row r="53">
      <c r="A53" s="13">
        <v>1.0</v>
      </c>
      <c r="B53" s="54" t="s">
        <v>178</v>
      </c>
      <c r="C53" s="55">
        <v>45870.0</v>
      </c>
      <c r="D53" s="22">
        <v>312.0</v>
      </c>
      <c r="E53" s="56"/>
      <c r="F53" s="28"/>
    </row>
    <row r="54">
      <c r="A54" s="30" t="s">
        <v>106</v>
      </c>
      <c r="B54" s="31"/>
      <c r="C54" s="32"/>
      <c r="D54" s="24">
        <f>round(D53*10%,2)</f>
        <v>31.2</v>
      </c>
      <c r="E54" s="57"/>
      <c r="F54" s="28"/>
    </row>
    <row r="55">
      <c r="A55" s="30" t="s">
        <v>24</v>
      </c>
      <c r="B55" s="31"/>
      <c r="C55" s="32"/>
      <c r="D55" s="24">
        <f>round(D53*10%,2)</f>
        <v>31.2</v>
      </c>
      <c r="E55" s="57"/>
      <c r="F55" s="28"/>
    </row>
    <row r="56">
      <c r="A56" s="33" t="s">
        <v>9</v>
      </c>
      <c r="B56" s="31"/>
      <c r="C56" s="32"/>
      <c r="D56" s="39">
        <f>D53+D54-D55</f>
        <v>312</v>
      </c>
      <c r="E56" s="90">
        <v>26502.0</v>
      </c>
      <c r="F56" s="41">
        <f>round(D56*E56,0)</f>
        <v>8268624</v>
      </c>
    </row>
    <row r="57">
      <c r="A57" s="33" t="s">
        <v>26</v>
      </c>
      <c r="B57" s="31"/>
      <c r="C57" s="32"/>
      <c r="D57" s="39"/>
      <c r="E57" s="90"/>
      <c r="F57" s="41">
        <f>round(F56*10%,0)</f>
        <v>826862</v>
      </c>
    </row>
    <row r="58">
      <c r="A58" s="33" t="s">
        <v>16</v>
      </c>
      <c r="B58" s="31"/>
      <c r="C58" s="32"/>
      <c r="D58" s="39"/>
      <c r="E58" s="90"/>
      <c r="F58" s="41">
        <f>F56+F57</f>
        <v>9095486</v>
      </c>
    </row>
    <row r="64">
      <c r="A64" s="52" t="s">
        <v>177</v>
      </c>
    </row>
    <row r="65">
      <c r="A65" s="53"/>
      <c r="B65" s="53"/>
      <c r="C65" s="53"/>
      <c r="D65" s="53"/>
      <c r="E65" s="53"/>
      <c r="F65" s="53"/>
    </row>
    <row r="66">
      <c r="A66" s="9" t="s">
        <v>4</v>
      </c>
      <c r="B66" s="9" t="s">
        <v>5</v>
      </c>
      <c r="C66" s="9" t="s">
        <v>6</v>
      </c>
      <c r="D66" s="9" t="s">
        <v>7</v>
      </c>
      <c r="E66" s="9" t="s">
        <v>8</v>
      </c>
      <c r="F66" s="9" t="s">
        <v>9</v>
      </c>
    </row>
    <row r="67">
      <c r="A67" s="13">
        <v>1.0</v>
      </c>
      <c r="B67" s="54" t="s">
        <v>178</v>
      </c>
      <c r="C67" s="55">
        <v>45901.0</v>
      </c>
      <c r="D67" s="22">
        <v>345.74</v>
      </c>
      <c r="E67" s="56"/>
      <c r="F67" s="28"/>
    </row>
    <row r="68">
      <c r="A68" s="30" t="s">
        <v>106</v>
      </c>
      <c r="B68" s="31"/>
      <c r="C68" s="32"/>
      <c r="D68" s="24">
        <f>round(D67*10%,2)</f>
        <v>34.57</v>
      </c>
      <c r="E68" s="57"/>
      <c r="F68" s="28"/>
    </row>
    <row r="69">
      <c r="A69" s="30" t="s">
        <v>24</v>
      </c>
      <c r="B69" s="31"/>
      <c r="C69" s="32"/>
      <c r="D69" s="24">
        <f>round(D67*10%,2)</f>
        <v>34.57</v>
      </c>
      <c r="E69" s="57"/>
      <c r="F69" s="28"/>
    </row>
    <row r="70">
      <c r="A70" s="33" t="s">
        <v>9</v>
      </c>
      <c r="B70" s="31"/>
      <c r="C70" s="32"/>
      <c r="D70" s="39">
        <f>D67+D68-D69</f>
        <v>345.74</v>
      </c>
      <c r="E70" s="90">
        <v>26446.0</v>
      </c>
      <c r="F70" s="41">
        <f>round(D70*E70,0)</f>
        <v>9143440</v>
      </c>
    </row>
    <row r="71">
      <c r="A71" s="33" t="s">
        <v>26</v>
      </c>
      <c r="B71" s="31"/>
      <c r="C71" s="32"/>
      <c r="D71" s="39"/>
      <c r="E71" s="90"/>
      <c r="F71" s="41">
        <f>round(F70*10%,0)</f>
        <v>914344</v>
      </c>
    </row>
    <row r="72">
      <c r="A72" s="33" t="s">
        <v>16</v>
      </c>
      <c r="B72" s="31"/>
      <c r="C72" s="32"/>
      <c r="D72" s="39"/>
      <c r="E72" s="90"/>
      <c r="F72" s="41">
        <f>F70+F71</f>
        <v>10057784</v>
      </c>
    </row>
    <row r="78">
      <c r="A78" s="52" t="s">
        <v>177</v>
      </c>
    </row>
    <row r="79">
      <c r="A79" s="53"/>
      <c r="B79" s="53"/>
      <c r="C79" s="53"/>
      <c r="D79" s="53"/>
      <c r="E79" s="53"/>
      <c r="F79" s="53"/>
    </row>
    <row r="80">
      <c r="A80" s="9" t="s">
        <v>4</v>
      </c>
      <c r="B80" s="9" t="s">
        <v>5</v>
      </c>
      <c r="C80" s="9" t="s">
        <v>6</v>
      </c>
      <c r="D80" s="9" t="s">
        <v>7</v>
      </c>
      <c r="E80" s="9" t="s">
        <v>8</v>
      </c>
      <c r="F80" s="9" t="s">
        <v>9</v>
      </c>
    </row>
    <row r="81">
      <c r="A81" s="13">
        <v>1.0</v>
      </c>
      <c r="B81" s="54" t="s">
        <v>178</v>
      </c>
      <c r="C81" s="55">
        <v>45931.0</v>
      </c>
      <c r="D81" s="22">
        <v>342.0</v>
      </c>
      <c r="E81" s="56"/>
      <c r="F81" s="28"/>
    </row>
    <row r="82">
      <c r="A82" s="30" t="s">
        <v>106</v>
      </c>
      <c r="B82" s="31"/>
      <c r="C82" s="32"/>
      <c r="D82" s="24">
        <f>round(D81*10%,2)</f>
        <v>34.2</v>
      </c>
      <c r="E82" s="57"/>
      <c r="F82" s="28"/>
    </row>
    <row r="83">
      <c r="A83" s="30" t="s">
        <v>24</v>
      </c>
      <c r="B83" s="31"/>
      <c r="C83" s="32"/>
      <c r="D83" s="24">
        <f>round(D81*10%,2)</f>
        <v>34.2</v>
      </c>
      <c r="E83" s="57"/>
      <c r="F83" s="28"/>
    </row>
    <row r="84">
      <c r="A84" s="33" t="s">
        <v>9</v>
      </c>
      <c r="B84" s="31"/>
      <c r="C84" s="32"/>
      <c r="D84" s="39">
        <f>D81+D82-D83</f>
        <v>342</v>
      </c>
      <c r="E84" s="90">
        <v>26347.0</v>
      </c>
      <c r="F84" s="41">
        <f>round(D84*E84,0)</f>
        <v>9010674</v>
      </c>
    </row>
    <row r="85">
      <c r="A85" s="33" t="s">
        <v>26</v>
      </c>
      <c r="B85" s="31"/>
      <c r="C85" s="32"/>
      <c r="D85" s="39"/>
      <c r="E85" s="90"/>
      <c r="F85" s="41">
        <f>round(F84*10%,0)</f>
        <v>901067</v>
      </c>
    </row>
    <row r="86">
      <c r="A86" s="33" t="s">
        <v>16</v>
      </c>
      <c r="B86" s="31"/>
      <c r="C86" s="32"/>
      <c r="D86" s="39"/>
      <c r="E86" s="90"/>
      <c r="F86" s="41">
        <f>F84+F85</f>
        <v>9911741</v>
      </c>
    </row>
    <row r="91">
      <c r="A91" s="52" t="s">
        <v>177</v>
      </c>
    </row>
    <row r="92">
      <c r="A92" s="53"/>
      <c r="B92" s="53"/>
      <c r="C92" s="53"/>
      <c r="D92" s="53"/>
      <c r="E92" s="53"/>
      <c r="F92" s="53"/>
    </row>
    <row r="93">
      <c r="A93" s="9" t="s">
        <v>4</v>
      </c>
      <c r="B93" s="9" t="s">
        <v>5</v>
      </c>
      <c r="C93" s="9" t="s">
        <v>6</v>
      </c>
      <c r="D93" s="9" t="s">
        <v>7</v>
      </c>
      <c r="E93" s="9" t="s">
        <v>8</v>
      </c>
      <c r="F93" s="9" t="s">
        <v>9</v>
      </c>
    </row>
    <row r="94">
      <c r="A94" s="13">
        <v>1.0</v>
      </c>
      <c r="B94" s="54" t="s">
        <v>178</v>
      </c>
      <c r="C94" s="55">
        <v>45962.0</v>
      </c>
      <c r="D94" s="22">
        <v>347.51</v>
      </c>
      <c r="E94" s="56"/>
      <c r="F94" s="28"/>
    </row>
    <row r="95">
      <c r="A95" s="30" t="s">
        <v>106</v>
      </c>
      <c r="B95" s="31"/>
      <c r="C95" s="32"/>
      <c r="D95" s="24">
        <f>round(D94*10%,2)</f>
        <v>34.75</v>
      </c>
      <c r="E95" s="57"/>
      <c r="F95" s="28"/>
    </row>
    <row r="96">
      <c r="A96" s="30" t="s">
        <v>24</v>
      </c>
      <c r="B96" s="31"/>
      <c r="C96" s="32"/>
      <c r="D96" s="24">
        <f>round(D94*10%,2)</f>
        <v>34.75</v>
      </c>
      <c r="E96" s="57"/>
      <c r="F96" s="28"/>
    </row>
    <row r="97">
      <c r="A97" s="33" t="s">
        <v>9</v>
      </c>
      <c r="B97" s="31"/>
      <c r="C97" s="32"/>
      <c r="D97" s="39">
        <f>D94+D95-D96</f>
        <v>347.51</v>
      </c>
      <c r="E97" s="90">
        <v>26412.0</v>
      </c>
      <c r="F97" s="41">
        <f>round(D97*E97,0)</f>
        <v>9178434</v>
      </c>
    </row>
    <row r="98">
      <c r="A98" s="33" t="s">
        <v>26</v>
      </c>
      <c r="B98" s="31"/>
      <c r="C98" s="32"/>
      <c r="D98" s="39"/>
      <c r="E98" s="90"/>
      <c r="F98" s="41">
        <f>round(F97*10%,0)</f>
        <v>917843</v>
      </c>
    </row>
    <row r="99">
      <c r="A99" s="33" t="s">
        <v>16</v>
      </c>
      <c r="B99" s="31"/>
      <c r="C99" s="32"/>
      <c r="D99" s="39"/>
      <c r="E99" s="90"/>
      <c r="F99" s="41">
        <f>F97+F98</f>
        <v>10096277</v>
      </c>
    </row>
    <row r="105">
      <c r="A105" s="52" t="s">
        <v>177</v>
      </c>
    </row>
    <row r="106">
      <c r="A106" s="53"/>
      <c r="B106" s="53"/>
      <c r="C106" s="53"/>
      <c r="D106" s="53"/>
      <c r="E106" s="53"/>
      <c r="F106" s="53"/>
    </row>
    <row r="107">
      <c r="A107" s="9" t="s">
        <v>4</v>
      </c>
      <c r="B107" s="9" t="s">
        <v>5</v>
      </c>
      <c r="C107" s="9" t="s">
        <v>6</v>
      </c>
      <c r="D107" s="9" t="s">
        <v>7</v>
      </c>
      <c r="E107" s="9" t="s">
        <v>8</v>
      </c>
      <c r="F107" s="9" t="s">
        <v>9</v>
      </c>
    </row>
    <row r="108">
      <c r="A108" s="13">
        <v>1.0</v>
      </c>
      <c r="B108" s="54" t="s">
        <v>178</v>
      </c>
      <c r="C108" s="55">
        <v>45992.0</v>
      </c>
      <c r="D108" s="22">
        <v>353.76</v>
      </c>
      <c r="E108" s="56"/>
      <c r="F108" s="28"/>
    </row>
    <row r="109">
      <c r="A109" s="30" t="s">
        <v>106</v>
      </c>
      <c r="B109" s="31"/>
      <c r="C109" s="32"/>
      <c r="D109" s="24">
        <f>round(D108*10%,2)</f>
        <v>35.38</v>
      </c>
      <c r="E109" s="57"/>
      <c r="F109" s="28"/>
    </row>
    <row r="110">
      <c r="A110" s="30" t="s">
        <v>24</v>
      </c>
      <c r="B110" s="31"/>
      <c r="C110" s="32"/>
      <c r="D110" s="24">
        <f>round(D108*10%,2)</f>
        <v>35.38</v>
      </c>
      <c r="E110" s="57"/>
      <c r="F110" s="28"/>
    </row>
    <row r="111">
      <c r="A111" s="33" t="s">
        <v>9</v>
      </c>
      <c r="B111" s="31"/>
      <c r="C111" s="32"/>
      <c r="D111" s="39">
        <f>D108+D109-D110</f>
        <v>353.76</v>
      </c>
      <c r="E111" s="90">
        <v>26377.0</v>
      </c>
      <c r="F111" s="41">
        <f>round(D111*E111,0)</f>
        <v>9331128</v>
      </c>
    </row>
    <row r="112">
      <c r="A112" s="33" t="s">
        <v>26</v>
      </c>
      <c r="B112" s="31"/>
      <c r="C112" s="32"/>
      <c r="D112" s="39"/>
      <c r="E112" s="90"/>
      <c r="F112" s="41">
        <f>round(F111*10%,0)</f>
        <v>933113</v>
      </c>
    </row>
    <row r="113">
      <c r="A113" s="33" t="s">
        <v>16</v>
      </c>
      <c r="B113" s="31"/>
      <c r="C113" s="32"/>
      <c r="D113" s="39"/>
      <c r="E113" s="90"/>
      <c r="F113" s="41">
        <f>F111+F112</f>
        <v>10264241</v>
      </c>
    </row>
    <row r="119">
      <c r="A119" s="52" t="s">
        <v>177</v>
      </c>
    </row>
    <row r="120">
      <c r="A120" s="53"/>
      <c r="B120" s="53"/>
      <c r="C120" s="53"/>
      <c r="D120" s="53"/>
      <c r="E120" s="53"/>
      <c r="F120" s="53"/>
    </row>
    <row r="121">
      <c r="A121" s="9" t="s">
        <v>4</v>
      </c>
      <c r="B121" s="9" t="s">
        <v>5</v>
      </c>
      <c r="C121" s="9" t="s">
        <v>6</v>
      </c>
      <c r="D121" s="9" t="s">
        <v>7</v>
      </c>
      <c r="E121" s="9" t="s">
        <v>8</v>
      </c>
      <c r="F121" s="9" t="s">
        <v>9</v>
      </c>
    </row>
    <row r="122">
      <c r="A122" s="13">
        <v>1.0</v>
      </c>
      <c r="B122" s="54" t="s">
        <v>178</v>
      </c>
      <c r="C122" s="55">
        <v>46023.0</v>
      </c>
      <c r="D122" s="22">
        <v>357.26</v>
      </c>
      <c r="E122" s="56"/>
      <c r="F122" s="28"/>
    </row>
    <row r="123">
      <c r="A123" s="30" t="s">
        <v>106</v>
      </c>
      <c r="B123" s="31"/>
      <c r="C123" s="32"/>
      <c r="D123" s="24">
        <f>round(D122*10%,2)</f>
        <v>35.73</v>
      </c>
      <c r="E123" s="57"/>
      <c r="F123" s="28"/>
    </row>
    <row r="124">
      <c r="A124" s="30" t="s">
        <v>24</v>
      </c>
      <c r="B124" s="31"/>
      <c r="C124" s="32"/>
      <c r="D124" s="24">
        <f>round(D122*10%,2)</f>
        <v>35.73</v>
      </c>
      <c r="E124" s="57"/>
      <c r="F124" s="28"/>
    </row>
    <row r="125">
      <c r="A125" s="33" t="s">
        <v>9</v>
      </c>
      <c r="B125" s="31"/>
      <c r="C125" s="32"/>
      <c r="D125" s="39">
        <f>D122+D123-D124</f>
        <v>357.26</v>
      </c>
      <c r="E125" s="90">
        <v>26145.0</v>
      </c>
      <c r="F125" s="41">
        <f>round(D125*E125,0)</f>
        <v>9340563</v>
      </c>
    </row>
    <row r="126">
      <c r="A126" s="33" t="s">
        <v>26</v>
      </c>
      <c r="B126" s="31"/>
      <c r="C126" s="32"/>
      <c r="D126" s="39"/>
      <c r="E126" s="90"/>
      <c r="F126" s="41">
        <f>round(F125*10%,0)</f>
        <v>934056</v>
      </c>
    </row>
    <row r="127">
      <c r="A127" s="33" t="s">
        <v>16</v>
      </c>
      <c r="B127" s="31"/>
      <c r="C127" s="32"/>
      <c r="D127" s="39"/>
      <c r="E127" s="90"/>
      <c r="F127" s="41">
        <f>F125+F126</f>
        <v>10274619</v>
      </c>
    </row>
    <row r="132">
      <c r="A132" s="52" t="s">
        <v>177</v>
      </c>
    </row>
    <row r="133">
      <c r="A133" s="53"/>
      <c r="B133" s="53"/>
      <c r="C133" s="53"/>
      <c r="D133" s="53"/>
      <c r="E133" s="53"/>
      <c r="F133" s="53"/>
    </row>
    <row r="134">
      <c r="A134" s="9" t="s">
        <v>4</v>
      </c>
      <c r="B134" s="9" t="s">
        <v>5</v>
      </c>
      <c r="C134" s="9" t="s">
        <v>6</v>
      </c>
      <c r="D134" s="9" t="s">
        <v>7</v>
      </c>
      <c r="E134" s="9" t="s">
        <v>8</v>
      </c>
      <c r="F134" s="9" t="s">
        <v>9</v>
      </c>
    </row>
    <row r="135">
      <c r="A135" s="13">
        <v>1.0</v>
      </c>
      <c r="B135" s="54" t="s">
        <v>178</v>
      </c>
      <c r="C135" s="55">
        <v>46054.0</v>
      </c>
      <c r="D135" s="22">
        <v>357.26</v>
      </c>
      <c r="E135" s="56"/>
      <c r="F135" s="28"/>
    </row>
    <row r="136">
      <c r="A136" s="30" t="s">
        <v>106</v>
      </c>
      <c r="B136" s="31"/>
      <c r="C136" s="32"/>
      <c r="D136" s="24">
        <f>round(D135*10%,2)</f>
        <v>35.73</v>
      </c>
      <c r="E136" s="57"/>
      <c r="F136" s="28"/>
    </row>
    <row r="137">
      <c r="A137" s="30" t="s">
        <v>24</v>
      </c>
      <c r="B137" s="31"/>
      <c r="C137" s="32"/>
      <c r="D137" s="24">
        <f>round(D135*10%,2)</f>
        <v>35.73</v>
      </c>
      <c r="E137" s="57"/>
      <c r="F137" s="28"/>
    </row>
    <row r="138">
      <c r="A138" s="33" t="s">
        <v>9</v>
      </c>
      <c r="B138" s="31"/>
      <c r="C138" s="32"/>
      <c r="D138" s="39">
        <f>D135+D136-D137</f>
        <v>357.26</v>
      </c>
      <c r="E138" s="90">
        <v>26240.0</v>
      </c>
      <c r="F138" s="41">
        <f>round(D138*E138,0)</f>
        <v>9374502</v>
      </c>
    </row>
    <row r="139">
      <c r="A139" s="33" t="s">
        <v>26</v>
      </c>
      <c r="B139" s="31"/>
      <c r="C139" s="32"/>
      <c r="D139" s="39"/>
      <c r="E139" s="90"/>
      <c r="F139" s="41">
        <f>round(F138*10%,0)</f>
        <v>937450</v>
      </c>
    </row>
    <row r="140">
      <c r="A140" s="33" t="s">
        <v>16</v>
      </c>
      <c r="B140" s="31"/>
      <c r="C140" s="32"/>
      <c r="D140" s="39"/>
      <c r="E140" s="90"/>
      <c r="F140" s="41">
        <f>F138+F139</f>
        <v>10311952</v>
      </c>
    </row>
    <row r="145">
      <c r="A145" s="52" t="s">
        <v>177</v>
      </c>
    </row>
    <row r="146">
      <c r="A146" s="53"/>
      <c r="B146" s="53"/>
      <c r="C146" s="53"/>
      <c r="D146" s="53"/>
      <c r="E146" s="53"/>
      <c r="F146" s="53"/>
    </row>
    <row r="147">
      <c r="A147" s="9" t="s">
        <v>4</v>
      </c>
      <c r="B147" s="9" t="s">
        <v>5</v>
      </c>
      <c r="C147" s="9" t="s">
        <v>6</v>
      </c>
      <c r="D147" s="9" t="s">
        <v>7</v>
      </c>
      <c r="E147" s="9" t="s">
        <v>8</v>
      </c>
      <c r="F147" s="9" t="s">
        <v>9</v>
      </c>
    </row>
    <row r="148">
      <c r="A148" s="13">
        <v>1.0</v>
      </c>
      <c r="B148" s="54" t="s">
        <v>178</v>
      </c>
      <c r="C148" s="55">
        <v>46082.0</v>
      </c>
      <c r="D148" s="22">
        <v>357.26</v>
      </c>
      <c r="E148" s="56"/>
      <c r="F148" s="28"/>
    </row>
    <row r="149">
      <c r="A149" s="30" t="s">
        <v>106</v>
      </c>
      <c r="B149" s="31"/>
      <c r="C149" s="32"/>
      <c r="D149" s="24">
        <f>round(D148*10%,2)</f>
        <v>35.73</v>
      </c>
      <c r="E149" s="57"/>
      <c r="F149" s="28"/>
    </row>
    <row r="150">
      <c r="A150" s="30" t="s">
        <v>24</v>
      </c>
      <c r="B150" s="31"/>
      <c r="C150" s="32"/>
      <c r="D150" s="24">
        <f>round(D148*10%,2)</f>
        <v>35.73</v>
      </c>
      <c r="E150" s="57"/>
      <c r="F150" s="28"/>
    </row>
    <row r="151">
      <c r="A151" s="33" t="s">
        <v>9</v>
      </c>
      <c r="B151" s="31"/>
      <c r="C151" s="32"/>
      <c r="D151" s="39">
        <f>D148+D149-D150</f>
        <v>357.26</v>
      </c>
      <c r="E151" s="90">
        <v>26357.0</v>
      </c>
      <c r="F151" s="41">
        <f>round(D151*E151,0)</f>
        <v>9416302</v>
      </c>
    </row>
    <row r="152">
      <c r="A152" s="33" t="s">
        <v>26</v>
      </c>
      <c r="B152" s="31"/>
      <c r="C152" s="32"/>
      <c r="D152" s="39"/>
      <c r="E152" s="90"/>
      <c r="F152" s="41">
        <f>round(F151*10%,0)</f>
        <v>941630</v>
      </c>
    </row>
    <row r="153">
      <c r="A153" s="33" t="s">
        <v>16</v>
      </c>
      <c r="B153" s="31"/>
      <c r="C153" s="32"/>
      <c r="D153" s="39"/>
      <c r="E153" s="90"/>
      <c r="F153" s="41">
        <f>F151+F152</f>
        <v>10357932</v>
      </c>
    </row>
    <row r="158">
      <c r="A158" s="52" t="s">
        <v>177</v>
      </c>
    </row>
    <row r="159">
      <c r="A159" s="53"/>
      <c r="B159" s="53"/>
      <c r="C159" s="53"/>
      <c r="D159" s="53"/>
      <c r="E159" s="53"/>
      <c r="F159" s="53"/>
    </row>
    <row r="160">
      <c r="A160" s="9" t="s">
        <v>4</v>
      </c>
      <c r="B160" s="9" t="s">
        <v>5</v>
      </c>
      <c r="C160" s="9" t="s">
        <v>6</v>
      </c>
      <c r="D160" s="9" t="s">
        <v>7</v>
      </c>
      <c r="E160" s="9" t="s">
        <v>8</v>
      </c>
      <c r="F160" s="9" t="s">
        <v>9</v>
      </c>
    </row>
    <row r="161">
      <c r="A161" s="13">
        <v>1.0</v>
      </c>
      <c r="B161" s="54" t="s">
        <v>178</v>
      </c>
      <c r="C161" s="55">
        <v>46082.0</v>
      </c>
      <c r="D161" s="22">
        <v>357.26</v>
      </c>
      <c r="E161" s="56"/>
      <c r="F161" s="28"/>
    </row>
    <row r="162">
      <c r="A162" s="30" t="s">
        <v>106</v>
      </c>
      <c r="B162" s="31"/>
      <c r="C162" s="32"/>
      <c r="D162" s="24">
        <f>round(D161*10%,2)</f>
        <v>35.73</v>
      </c>
      <c r="E162" s="57"/>
      <c r="F162" s="28"/>
    </row>
    <row r="163">
      <c r="A163" s="30" t="s">
        <v>24</v>
      </c>
      <c r="B163" s="31"/>
      <c r="C163" s="32"/>
      <c r="D163" s="24">
        <f>round(D161*10%,2)</f>
        <v>35.73</v>
      </c>
      <c r="E163" s="57"/>
      <c r="F163" s="28"/>
    </row>
    <row r="164">
      <c r="A164" s="33" t="s">
        <v>9</v>
      </c>
      <c r="B164" s="31"/>
      <c r="C164" s="32"/>
      <c r="D164" s="39">
        <f>D161+D162-D163</f>
        <v>357.26</v>
      </c>
      <c r="E164" s="90">
        <v>26368.0</v>
      </c>
      <c r="F164" s="41">
        <f>round(D164*E164,0)</f>
        <v>9420232</v>
      </c>
    </row>
    <row r="165">
      <c r="A165" s="33" t="s">
        <v>26</v>
      </c>
      <c r="B165" s="31"/>
      <c r="C165" s="32"/>
      <c r="D165" s="39"/>
      <c r="E165" s="90"/>
      <c r="F165" s="41">
        <f>round(F164*10%,0)</f>
        <v>942023</v>
      </c>
    </row>
    <row r="166">
      <c r="A166" s="33" t="s">
        <v>16</v>
      </c>
      <c r="B166" s="31"/>
      <c r="C166" s="32"/>
      <c r="D166" s="39"/>
      <c r="E166" s="90"/>
      <c r="F166" s="41">
        <f>F164+F165</f>
        <v>10362255</v>
      </c>
    </row>
    <row r="172">
      <c r="A172" s="52" t="s">
        <v>177</v>
      </c>
    </row>
    <row r="173">
      <c r="A173" s="53"/>
      <c r="B173" s="53"/>
      <c r="C173" s="53"/>
      <c r="D173" s="53"/>
      <c r="E173" s="53"/>
      <c r="F173" s="53"/>
    </row>
    <row r="174">
      <c r="A174" s="9" t="s">
        <v>4</v>
      </c>
      <c r="B174" s="9" t="s">
        <v>5</v>
      </c>
      <c r="C174" s="9" t="s">
        <v>6</v>
      </c>
      <c r="D174" s="9" t="s">
        <v>7</v>
      </c>
      <c r="E174" s="9" t="s">
        <v>8</v>
      </c>
      <c r="F174" s="9" t="s">
        <v>9</v>
      </c>
    </row>
    <row r="175">
      <c r="A175" s="13">
        <v>1.0</v>
      </c>
      <c r="B175" s="54" t="s">
        <v>178</v>
      </c>
      <c r="C175" s="55">
        <v>46143.0</v>
      </c>
      <c r="D175" s="22">
        <v>410.2</v>
      </c>
      <c r="E175" s="56"/>
      <c r="F175" s="28"/>
    </row>
    <row r="176">
      <c r="A176" s="30" t="s">
        <v>106</v>
      </c>
      <c r="B176" s="31"/>
      <c r="C176" s="32"/>
      <c r="D176" s="24">
        <f>round(D175*10%,2)</f>
        <v>41.02</v>
      </c>
      <c r="E176" s="57"/>
      <c r="F176" s="28"/>
    </row>
    <row r="177">
      <c r="A177" s="30" t="s">
        <v>24</v>
      </c>
      <c r="B177" s="31"/>
      <c r="C177" s="32"/>
      <c r="D177" s="24">
        <f>round(D175*10%,2)</f>
        <v>41.02</v>
      </c>
      <c r="E177" s="57"/>
      <c r="F177" s="28"/>
    </row>
    <row r="178">
      <c r="A178" s="33" t="s">
        <v>9</v>
      </c>
      <c r="B178" s="31"/>
      <c r="C178" s="32"/>
      <c r="D178" s="39">
        <f>D175+D176-D177</f>
        <v>410.2</v>
      </c>
      <c r="E178" s="90">
        <v>26395.0</v>
      </c>
      <c r="F178" s="41">
        <f>round(D178*E178,0)</f>
        <v>10827229</v>
      </c>
    </row>
    <row r="179">
      <c r="A179" s="33" t="s">
        <v>26</v>
      </c>
      <c r="B179" s="31"/>
      <c r="C179" s="32"/>
      <c r="D179" s="39"/>
      <c r="E179" s="90"/>
      <c r="F179" s="41">
        <f>round(F178*10%,0)</f>
        <v>1082723</v>
      </c>
    </row>
    <row r="180">
      <c r="A180" s="33" t="s">
        <v>16</v>
      </c>
      <c r="B180" s="31"/>
      <c r="C180" s="32"/>
      <c r="D180" s="39"/>
      <c r="E180" s="90"/>
      <c r="F180" s="41">
        <f>F178+F179</f>
        <v>11909952</v>
      </c>
    </row>
    <row r="186">
      <c r="A186" s="52" t="s">
        <v>177</v>
      </c>
    </row>
    <row r="187">
      <c r="A187" s="53"/>
      <c r="B187" s="53"/>
      <c r="C187" s="53"/>
      <c r="D187" s="53"/>
      <c r="E187" s="53"/>
      <c r="F187" s="53"/>
    </row>
    <row r="188">
      <c r="A188" s="9" t="s">
        <v>4</v>
      </c>
      <c r="B188" s="9" t="s">
        <v>5</v>
      </c>
      <c r="C188" s="9" t="s">
        <v>6</v>
      </c>
      <c r="D188" s="9" t="s">
        <v>7</v>
      </c>
      <c r="E188" s="9" t="s">
        <v>8</v>
      </c>
      <c r="F188" s="9" t="s">
        <v>9</v>
      </c>
    </row>
    <row r="189">
      <c r="A189" s="13">
        <v>1.0</v>
      </c>
      <c r="B189" s="54" t="s">
        <v>178</v>
      </c>
      <c r="C189" s="55">
        <v>46174.0</v>
      </c>
      <c r="D189" s="22">
        <v>417.4</v>
      </c>
      <c r="E189" s="56"/>
      <c r="F189" s="28"/>
    </row>
    <row r="190">
      <c r="A190" s="30" t="s">
        <v>106</v>
      </c>
      <c r="B190" s="31"/>
      <c r="C190" s="32"/>
      <c r="D190" s="24">
        <f>round(D189*10%,2)</f>
        <v>41.74</v>
      </c>
      <c r="E190" s="57"/>
      <c r="F190" s="28"/>
    </row>
    <row r="191">
      <c r="A191" s="30" t="s">
        <v>24</v>
      </c>
      <c r="B191" s="31"/>
      <c r="C191" s="32"/>
      <c r="D191" s="24">
        <f>round(D189*10%,2)</f>
        <v>41.74</v>
      </c>
      <c r="E191" s="57"/>
      <c r="F191" s="28"/>
    </row>
    <row r="192">
      <c r="A192" s="33" t="s">
        <v>9</v>
      </c>
      <c r="B192" s="31"/>
      <c r="C192" s="32"/>
      <c r="D192" s="39">
        <f>D189+D190-D191</f>
        <v>417.4</v>
      </c>
      <c r="E192" s="90">
        <v>26466.0</v>
      </c>
      <c r="F192" s="41">
        <f>round(D192*E192,0)</f>
        <v>11046908</v>
      </c>
    </row>
    <row r="193">
      <c r="A193" s="33" t="s">
        <v>26</v>
      </c>
      <c r="B193" s="31"/>
      <c r="C193" s="32"/>
      <c r="D193" s="39"/>
      <c r="E193" s="90"/>
      <c r="F193" s="41">
        <f>round(F192*10%,0)</f>
        <v>1104691</v>
      </c>
    </row>
    <row r="194">
      <c r="A194" s="33" t="s">
        <v>16</v>
      </c>
      <c r="B194" s="31"/>
      <c r="C194" s="32"/>
      <c r="D194" s="39"/>
      <c r="E194" s="90"/>
      <c r="F194" s="41">
        <f>F192+F193</f>
        <v>12151599</v>
      </c>
    </row>
  </sheetData>
  <mergeCells count="90">
    <mergeCell ref="A109:C109"/>
    <mergeCell ref="A110:C110"/>
    <mergeCell ref="A111:C111"/>
    <mergeCell ref="A112:C112"/>
    <mergeCell ref="A113:C113"/>
    <mergeCell ref="A119:F119"/>
    <mergeCell ref="A123:C123"/>
    <mergeCell ref="A124:C124"/>
    <mergeCell ref="A125:C125"/>
    <mergeCell ref="A126:C126"/>
    <mergeCell ref="A127:C127"/>
    <mergeCell ref="A132:F132"/>
    <mergeCell ref="A136:C136"/>
    <mergeCell ref="A137:C137"/>
    <mergeCell ref="A138:C138"/>
    <mergeCell ref="A139:C139"/>
    <mergeCell ref="A140:C140"/>
    <mergeCell ref="A145:F145"/>
    <mergeCell ref="A149:C149"/>
    <mergeCell ref="A150:C150"/>
    <mergeCell ref="A151:C151"/>
    <mergeCell ref="A152:C152"/>
    <mergeCell ref="A153:C153"/>
    <mergeCell ref="A158:F158"/>
    <mergeCell ref="A162:C162"/>
    <mergeCell ref="A163:C163"/>
    <mergeCell ref="A164:C164"/>
    <mergeCell ref="A165:C165"/>
    <mergeCell ref="A186:F186"/>
    <mergeCell ref="A190:C190"/>
    <mergeCell ref="A191:C191"/>
    <mergeCell ref="A192:C192"/>
    <mergeCell ref="A193:C193"/>
    <mergeCell ref="A194:C194"/>
    <mergeCell ref="A166:C166"/>
    <mergeCell ref="A172:F172"/>
    <mergeCell ref="A176:C176"/>
    <mergeCell ref="A177:C177"/>
    <mergeCell ref="A178:C178"/>
    <mergeCell ref="A179:C179"/>
    <mergeCell ref="A180:C180"/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50:F50"/>
    <mergeCell ref="A54:C54"/>
    <mergeCell ref="A55:C55"/>
    <mergeCell ref="A56:C56"/>
    <mergeCell ref="A57:C57"/>
    <mergeCell ref="A58:C58"/>
    <mergeCell ref="A64:F64"/>
    <mergeCell ref="A68:C68"/>
    <mergeCell ref="A69:C69"/>
    <mergeCell ref="A70:C70"/>
    <mergeCell ref="A71:C71"/>
    <mergeCell ref="A72:C72"/>
    <mergeCell ref="A78:F78"/>
    <mergeCell ref="A82:C82"/>
    <mergeCell ref="A83:C83"/>
    <mergeCell ref="A84:C84"/>
    <mergeCell ref="A85:C85"/>
    <mergeCell ref="A86:C86"/>
    <mergeCell ref="A91:F91"/>
    <mergeCell ref="A95:C95"/>
    <mergeCell ref="A96:C96"/>
    <mergeCell ref="A97:C97"/>
    <mergeCell ref="A98:C98"/>
    <mergeCell ref="A99:C99"/>
    <mergeCell ref="A105:F105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50.88"/>
    <col customWidth="1" min="3" max="3" width="12.5"/>
    <col customWidth="1" min="4" max="4" width="23.63"/>
    <col customWidth="1" min="5" max="5" width="11.63"/>
    <col customWidth="1" min="6" max="6" width="21.63"/>
  </cols>
  <sheetData>
    <row r="1">
      <c r="A1" s="52" t="s">
        <v>180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181</v>
      </c>
      <c r="C4" s="55">
        <v>45748.0</v>
      </c>
      <c r="D4" s="22">
        <v>147.21</v>
      </c>
      <c r="E4" s="56"/>
      <c r="F4" s="28"/>
    </row>
    <row r="5">
      <c r="A5" s="30" t="s">
        <v>104</v>
      </c>
      <c r="B5" s="31"/>
      <c r="C5" s="32"/>
      <c r="D5" s="24">
        <f>round(D4*5.26%,2)</f>
        <v>7.74</v>
      </c>
      <c r="E5" s="57"/>
      <c r="F5" s="28"/>
    </row>
    <row r="6">
      <c r="A6" s="30" t="s">
        <v>24</v>
      </c>
      <c r="B6" s="31"/>
      <c r="C6" s="32"/>
      <c r="D6" s="24">
        <f>round(D4*10%,2)</f>
        <v>14.72</v>
      </c>
      <c r="E6" s="57"/>
      <c r="F6" s="28"/>
    </row>
    <row r="7">
      <c r="A7" s="33" t="s">
        <v>9</v>
      </c>
      <c r="B7" s="31"/>
      <c r="C7" s="32"/>
      <c r="D7" s="39">
        <f>D4+D5-D6</f>
        <v>140.23</v>
      </c>
      <c r="E7" s="90">
        <v>26190.0</v>
      </c>
      <c r="F7" s="41">
        <f>round(D7*E7,0)</f>
        <v>3672624</v>
      </c>
    </row>
    <row r="8">
      <c r="A8" s="33" t="s">
        <v>26</v>
      </c>
      <c r="B8" s="31"/>
      <c r="C8" s="32"/>
      <c r="D8" s="39"/>
      <c r="E8" s="90"/>
      <c r="F8" s="41">
        <f>round(F7*10%,0)</f>
        <v>367262</v>
      </c>
    </row>
    <row r="9">
      <c r="A9" s="33" t="s">
        <v>16</v>
      </c>
      <c r="B9" s="31"/>
      <c r="C9" s="32"/>
      <c r="D9" s="39"/>
      <c r="E9" s="90"/>
      <c r="F9" s="41">
        <f>F7+F8</f>
        <v>4039886</v>
      </c>
    </row>
    <row r="13">
      <c r="A13" s="52" t="s">
        <v>180</v>
      </c>
    </row>
    <row r="14">
      <c r="A14" s="53"/>
      <c r="B14" s="53"/>
      <c r="C14" s="53"/>
      <c r="D14" s="53"/>
      <c r="E14" s="53"/>
      <c r="F14" s="53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>
      <c r="A16" s="13">
        <v>1.0</v>
      </c>
      <c r="B16" s="54" t="s">
        <v>181</v>
      </c>
      <c r="C16" s="55">
        <v>45778.0</v>
      </c>
      <c r="D16" s="22">
        <v>161.69</v>
      </c>
      <c r="E16" s="56"/>
      <c r="F16" s="28"/>
    </row>
    <row r="17">
      <c r="A17" s="30" t="s">
        <v>104</v>
      </c>
      <c r="B17" s="31"/>
      <c r="C17" s="32"/>
      <c r="D17" s="24">
        <f>round(D16*5.26%,2)</f>
        <v>8.5</v>
      </c>
      <c r="E17" s="57"/>
      <c r="F17" s="28"/>
    </row>
    <row r="18">
      <c r="A18" s="30" t="s">
        <v>24</v>
      </c>
      <c r="B18" s="31"/>
      <c r="C18" s="32"/>
      <c r="D18" s="24">
        <f>round(D16*10%,2)</f>
        <v>16.17</v>
      </c>
      <c r="E18" s="57"/>
      <c r="F18" s="28"/>
    </row>
    <row r="19">
      <c r="A19" s="33" t="s">
        <v>9</v>
      </c>
      <c r="B19" s="31"/>
      <c r="C19" s="32"/>
      <c r="D19" s="39">
        <f>D16+D17-D18</f>
        <v>154.02</v>
      </c>
      <c r="E19" s="90">
        <v>26225.0</v>
      </c>
      <c r="F19" s="41">
        <f>round(D19*E19,0)</f>
        <v>4039175</v>
      </c>
    </row>
    <row r="20">
      <c r="A20" s="33" t="s">
        <v>26</v>
      </c>
      <c r="B20" s="31"/>
      <c r="C20" s="32"/>
      <c r="D20" s="39"/>
      <c r="E20" s="90"/>
      <c r="F20" s="41">
        <f>round(F19*10%,0)</f>
        <v>403918</v>
      </c>
    </row>
    <row r="21">
      <c r="A21" s="33" t="s">
        <v>16</v>
      </c>
      <c r="B21" s="31"/>
      <c r="C21" s="32"/>
      <c r="D21" s="39"/>
      <c r="E21" s="90"/>
      <c r="F21" s="41">
        <f>F19+F20</f>
        <v>4443093</v>
      </c>
    </row>
    <row r="25">
      <c r="A25" s="52" t="s">
        <v>180</v>
      </c>
    </row>
    <row r="26">
      <c r="A26" s="53"/>
      <c r="B26" s="53"/>
      <c r="C26" s="53"/>
      <c r="D26" s="53"/>
      <c r="E26" s="53"/>
      <c r="F26" s="53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</row>
    <row r="28">
      <c r="A28" s="13">
        <v>1.0</v>
      </c>
      <c r="B28" s="54" t="s">
        <v>181</v>
      </c>
      <c r="C28" s="55">
        <v>45809.0</v>
      </c>
      <c r="D28" s="22">
        <v>126.0</v>
      </c>
      <c r="E28" s="56"/>
      <c r="F28" s="28"/>
    </row>
    <row r="29">
      <c r="A29" s="30" t="s">
        <v>104</v>
      </c>
      <c r="B29" s="31"/>
      <c r="C29" s="32"/>
      <c r="D29" s="24">
        <f>round(D28*5.26%,2)</f>
        <v>6.63</v>
      </c>
      <c r="E29" s="57"/>
      <c r="F29" s="28"/>
    </row>
    <row r="30">
      <c r="A30" s="30" t="s">
        <v>24</v>
      </c>
      <c r="B30" s="31"/>
      <c r="C30" s="32"/>
      <c r="D30" s="24">
        <f>round(D28*10%,2)</f>
        <v>12.6</v>
      </c>
      <c r="E30" s="57"/>
      <c r="F30" s="28"/>
    </row>
    <row r="31">
      <c r="A31" s="33" t="s">
        <v>9</v>
      </c>
      <c r="B31" s="31"/>
      <c r="C31" s="32"/>
      <c r="D31" s="39">
        <f>D28+D29-D30</f>
        <v>120.03</v>
      </c>
      <c r="E31" s="90">
        <v>26300.0</v>
      </c>
      <c r="F31" s="41">
        <f>round(D31*E31,0)</f>
        <v>3156789</v>
      </c>
    </row>
    <row r="32">
      <c r="A32" s="33" t="s">
        <v>26</v>
      </c>
      <c r="B32" s="31"/>
      <c r="C32" s="32"/>
      <c r="D32" s="39"/>
      <c r="E32" s="90"/>
      <c r="F32" s="41">
        <f>round(F31*10%,0)</f>
        <v>315679</v>
      </c>
    </row>
    <row r="33">
      <c r="A33" s="33" t="s">
        <v>16</v>
      </c>
      <c r="B33" s="31"/>
      <c r="C33" s="32"/>
      <c r="D33" s="39"/>
      <c r="E33" s="90"/>
      <c r="F33" s="41">
        <f>F31+F32</f>
        <v>3472468</v>
      </c>
    </row>
    <row r="37">
      <c r="A37" s="52" t="s">
        <v>180</v>
      </c>
    </row>
    <row r="38">
      <c r="A38" s="53"/>
      <c r="B38" s="53"/>
      <c r="C38" s="53"/>
      <c r="D38" s="53"/>
      <c r="E38" s="53"/>
      <c r="F38" s="53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</row>
    <row r="40">
      <c r="A40" s="13">
        <v>1.0</v>
      </c>
      <c r="B40" s="54" t="s">
        <v>181</v>
      </c>
      <c r="C40" s="55">
        <v>45839.0</v>
      </c>
      <c r="D40" s="22">
        <v>126.0</v>
      </c>
      <c r="E40" s="56"/>
      <c r="F40" s="28"/>
    </row>
    <row r="41">
      <c r="A41" s="30" t="s">
        <v>106</v>
      </c>
      <c r="B41" s="31"/>
      <c r="C41" s="32"/>
      <c r="D41" s="24">
        <f>round(D40*10%,2)</f>
        <v>12.6</v>
      </c>
      <c r="E41" s="57"/>
      <c r="F41" s="28"/>
    </row>
    <row r="42">
      <c r="A42" s="30" t="s">
        <v>24</v>
      </c>
      <c r="B42" s="31"/>
      <c r="C42" s="32"/>
      <c r="D42" s="24">
        <f>round(D40*10%,2)</f>
        <v>12.6</v>
      </c>
      <c r="E42" s="57"/>
      <c r="F42" s="28"/>
    </row>
    <row r="43">
      <c r="A43" s="33" t="s">
        <v>9</v>
      </c>
      <c r="B43" s="31"/>
      <c r="C43" s="32"/>
      <c r="D43" s="39">
        <f>D40+D41-D42</f>
        <v>126</v>
      </c>
      <c r="E43" s="90">
        <v>26382.0</v>
      </c>
      <c r="F43" s="41">
        <f>round(D43*E43,0)</f>
        <v>3324132</v>
      </c>
    </row>
    <row r="44">
      <c r="A44" s="33" t="s">
        <v>26</v>
      </c>
      <c r="B44" s="31"/>
      <c r="C44" s="32"/>
      <c r="D44" s="39"/>
      <c r="E44" s="90"/>
      <c r="F44" s="41">
        <f>round(F43*10%,0)</f>
        <v>332413</v>
      </c>
    </row>
    <row r="45">
      <c r="A45" s="33" t="s">
        <v>16</v>
      </c>
      <c r="B45" s="31"/>
      <c r="C45" s="32"/>
      <c r="D45" s="39"/>
      <c r="E45" s="90"/>
      <c r="F45" s="41">
        <f>F43+F44</f>
        <v>3656545</v>
      </c>
    </row>
    <row r="50">
      <c r="A50" s="52" t="s">
        <v>180</v>
      </c>
    </row>
    <row r="51">
      <c r="A51" s="53"/>
      <c r="B51" s="53"/>
      <c r="C51" s="53"/>
      <c r="D51" s="53"/>
      <c r="E51" s="53"/>
      <c r="F51" s="53"/>
    </row>
    <row r="52">
      <c r="A52" s="9" t="s">
        <v>4</v>
      </c>
      <c r="B52" s="9" t="s">
        <v>5</v>
      </c>
      <c r="C52" s="9" t="s">
        <v>6</v>
      </c>
      <c r="D52" s="9" t="s">
        <v>7</v>
      </c>
      <c r="E52" s="9" t="s">
        <v>8</v>
      </c>
      <c r="F52" s="9" t="s">
        <v>9</v>
      </c>
    </row>
    <row r="53">
      <c r="A53" s="13">
        <v>1.0</v>
      </c>
      <c r="B53" s="54" t="s">
        <v>181</v>
      </c>
      <c r="C53" s="55">
        <v>45870.0</v>
      </c>
      <c r="D53" s="22">
        <v>126.0</v>
      </c>
      <c r="E53" s="56"/>
      <c r="F53" s="28"/>
    </row>
    <row r="54">
      <c r="A54" s="30" t="s">
        <v>106</v>
      </c>
      <c r="B54" s="31"/>
      <c r="C54" s="32"/>
      <c r="D54" s="24">
        <f>round(D53*10%,2)</f>
        <v>12.6</v>
      </c>
      <c r="E54" s="57"/>
      <c r="F54" s="28"/>
    </row>
    <row r="55">
      <c r="A55" s="30" t="s">
        <v>24</v>
      </c>
      <c r="B55" s="31"/>
      <c r="C55" s="32"/>
      <c r="D55" s="24">
        <f>round(D53*10%,2)</f>
        <v>12.6</v>
      </c>
      <c r="E55" s="57"/>
      <c r="F55" s="28"/>
    </row>
    <row r="56">
      <c r="A56" s="33" t="s">
        <v>9</v>
      </c>
      <c r="B56" s="31"/>
      <c r="C56" s="32"/>
      <c r="D56" s="39">
        <f>D53+D54-D55</f>
        <v>126</v>
      </c>
      <c r="E56" s="90">
        <v>26502.0</v>
      </c>
      <c r="F56" s="41">
        <f>round(D56*E56,0)</f>
        <v>3339252</v>
      </c>
    </row>
    <row r="57">
      <c r="A57" s="33" t="s">
        <v>26</v>
      </c>
      <c r="B57" s="31"/>
      <c r="C57" s="32"/>
      <c r="D57" s="39"/>
      <c r="E57" s="90"/>
      <c r="F57" s="41">
        <f>round(F56*10%,0)</f>
        <v>333925</v>
      </c>
    </row>
    <row r="58">
      <c r="A58" s="33" t="s">
        <v>16</v>
      </c>
      <c r="B58" s="31"/>
      <c r="C58" s="32"/>
      <c r="D58" s="39"/>
      <c r="E58" s="90"/>
      <c r="F58" s="41">
        <f>F56+F57</f>
        <v>3673177</v>
      </c>
    </row>
    <row r="63">
      <c r="A63" s="52" t="s">
        <v>180</v>
      </c>
    </row>
    <row r="64">
      <c r="A64" s="53"/>
      <c r="B64" s="53"/>
      <c r="C64" s="53"/>
      <c r="D64" s="53"/>
      <c r="E64" s="53"/>
      <c r="F64" s="53"/>
    </row>
    <row r="65">
      <c r="A65" s="9" t="s">
        <v>4</v>
      </c>
      <c r="B65" s="9" t="s">
        <v>5</v>
      </c>
      <c r="C65" s="9" t="s">
        <v>6</v>
      </c>
      <c r="D65" s="9" t="s">
        <v>7</v>
      </c>
      <c r="E65" s="9" t="s">
        <v>8</v>
      </c>
      <c r="F65" s="9" t="s">
        <v>9</v>
      </c>
    </row>
    <row r="66">
      <c r="A66" s="13">
        <v>1.0</v>
      </c>
      <c r="B66" s="54" t="s">
        <v>181</v>
      </c>
      <c r="C66" s="55">
        <v>45901.0</v>
      </c>
      <c r="D66" s="22">
        <v>126.0</v>
      </c>
      <c r="E66" s="56"/>
      <c r="F66" s="28"/>
    </row>
    <row r="67">
      <c r="A67" s="30" t="s">
        <v>106</v>
      </c>
      <c r="B67" s="31"/>
      <c r="C67" s="32"/>
      <c r="D67" s="24">
        <f>round(D66*10%,2)</f>
        <v>12.6</v>
      </c>
      <c r="E67" s="57"/>
      <c r="F67" s="28"/>
    </row>
    <row r="68">
      <c r="A68" s="30" t="s">
        <v>24</v>
      </c>
      <c r="B68" s="31"/>
      <c r="C68" s="32"/>
      <c r="D68" s="24">
        <f>round(D66*10%,2)</f>
        <v>12.6</v>
      </c>
      <c r="E68" s="57"/>
      <c r="F68" s="28"/>
    </row>
    <row r="69">
      <c r="A69" s="33" t="s">
        <v>9</v>
      </c>
      <c r="B69" s="31"/>
      <c r="C69" s="32"/>
      <c r="D69" s="39">
        <f>D66+D67-D68</f>
        <v>126</v>
      </c>
      <c r="E69" s="90">
        <v>26446.0</v>
      </c>
      <c r="F69" s="41">
        <f>round(D69*E69,0)</f>
        <v>3332196</v>
      </c>
    </row>
    <row r="70">
      <c r="A70" s="33" t="s">
        <v>26</v>
      </c>
      <c r="B70" s="31"/>
      <c r="C70" s="32"/>
      <c r="D70" s="39"/>
      <c r="E70" s="90"/>
      <c r="F70" s="41">
        <f>round(F69*10%,0)</f>
        <v>333220</v>
      </c>
    </row>
    <row r="71">
      <c r="A71" s="33" t="s">
        <v>16</v>
      </c>
      <c r="B71" s="31"/>
      <c r="C71" s="32"/>
      <c r="D71" s="39"/>
      <c r="E71" s="90"/>
      <c r="F71" s="41">
        <f>F69+F70</f>
        <v>3665416</v>
      </c>
    </row>
    <row r="77">
      <c r="A77" s="52" t="s">
        <v>180</v>
      </c>
    </row>
    <row r="78">
      <c r="A78" s="53"/>
      <c r="B78" s="53"/>
      <c r="C78" s="53"/>
      <c r="D78" s="53"/>
      <c r="E78" s="53"/>
      <c r="F78" s="53"/>
    </row>
    <row r="79">
      <c r="A79" s="9" t="s">
        <v>4</v>
      </c>
      <c r="B79" s="9" t="s">
        <v>5</v>
      </c>
      <c r="C79" s="9" t="s">
        <v>6</v>
      </c>
      <c r="D79" s="9" t="s">
        <v>7</v>
      </c>
      <c r="E79" s="9" t="s">
        <v>8</v>
      </c>
      <c r="F79" s="9" t="s">
        <v>9</v>
      </c>
    </row>
    <row r="80">
      <c r="A80" s="13">
        <v>1.0</v>
      </c>
      <c r="B80" s="54" t="s">
        <v>181</v>
      </c>
      <c r="C80" s="55">
        <v>45931.0</v>
      </c>
      <c r="D80" s="22">
        <v>126.0</v>
      </c>
      <c r="E80" s="56"/>
      <c r="F80" s="28"/>
    </row>
    <row r="81">
      <c r="A81" s="30" t="s">
        <v>106</v>
      </c>
      <c r="B81" s="31"/>
      <c r="C81" s="32"/>
      <c r="D81" s="24">
        <f>round(D80*10%,2)</f>
        <v>12.6</v>
      </c>
      <c r="E81" s="57"/>
      <c r="F81" s="28"/>
    </row>
    <row r="82">
      <c r="A82" s="30" t="s">
        <v>24</v>
      </c>
      <c r="B82" s="31"/>
      <c r="C82" s="32"/>
      <c r="D82" s="24">
        <f>round(D80*10%,2)</f>
        <v>12.6</v>
      </c>
      <c r="E82" s="57"/>
      <c r="F82" s="28"/>
    </row>
    <row r="83">
      <c r="A83" s="33" t="s">
        <v>9</v>
      </c>
      <c r="B83" s="31"/>
      <c r="C83" s="32"/>
      <c r="D83" s="39">
        <f>D80+D81-D82</f>
        <v>126</v>
      </c>
      <c r="E83" s="90">
        <v>26347.0</v>
      </c>
      <c r="F83" s="41">
        <f>round(D83*E83,0)</f>
        <v>3319722</v>
      </c>
    </row>
    <row r="84">
      <c r="A84" s="33" t="s">
        <v>26</v>
      </c>
      <c r="B84" s="31"/>
      <c r="C84" s="32"/>
      <c r="D84" s="39"/>
      <c r="E84" s="90"/>
      <c r="F84" s="41">
        <f>round(F83*10%,0)</f>
        <v>331972</v>
      </c>
    </row>
    <row r="85">
      <c r="A85" s="33" t="s">
        <v>16</v>
      </c>
      <c r="B85" s="31"/>
      <c r="C85" s="32"/>
      <c r="D85" s="39"/>
      <c r="E85" s="90"/>
      <c r="F85" s="41">
        <f>F83+F84</f>
        <v>3651694</v>
      </c>
    </row>
    <row r="90">
      <c r="A90" s="52" t="s">
        <v>180</v>
      </c>
    </row>
    <row r="91">
      <c r="A91" s="53"/>
      <c r="B91" s="53"/>
      <c r="C91" s="53"/>
      <c r="D91" s="53"/>
      <c r="E91" s="53"/>
      <c r="F91" s="53"/>
    </row>
    <row r="92">
      <c r="A92" s="9" t="s">
        <v>4</v>
      </c>
      <c r="B92" s="9" t="s">
        <v>5</v>
      </c>
      <c r="C92" s="9" t="s">
        <v>6</v>
      </c>
      <c r="D92" s="9" t="s">
        <v>7</v>
      </c>
      <c r="E92" s="9" t="s">
        <v>8</v>
      </c>
      <c r="F92" s="9" t="s">
        <v>9</v>
      </c>
    </row>
    <row r="93">
      <c r="A93" s="13">
        <v>1.0</v>
      </c>
      <c r="B93" s="54" t="s">
        <v>181</v>
      </c>
      <c r="C93" s="55">
        <v>45962.0</v>
      </c>
      <c r="D93" s="22">
        <v>126.0</v>
      </c>
      <c r="E93" s="56"/>
      <c r="F93" s="28"/>
    </row>
    <row r="94">
      <c r="A94" s="30" t="s">
        <v>106</v>
      </c>
      <c r="B94" s="31"/>
      <c r="C94" s="32"/>
      <c r="D94" s="24">
        <f>round(D93*10%,2)</f>
        <v>12.6</v>
      </c>
      <c r="E94" s="57"/>
      <c r="F94" s="28"/>
    </row>
    <row r="95">
      <c r="A95" s="30" t="s">
        <v>24</v>
      </c>
      <c r="B95" s="31"/>
      <c r="C95" s="32"/>
      <c r="D95" s="24">
        <f>round(D93*10%,2)</f>
        <v>12.6</v>
      </c>
      <c r="E95" s="57"/>
      <c r="F95" s="28"/>
    </row>
    <row r="96">
      <c r="A96" s="33" t="s">
        <v>9</v>
      </c>
      <c r="B96" s="31"/>
      <c r="C96" s="32"/>
      <c r="D96" s="39">
        <f>D93+D94-D95</f>
        <v>126</v>
      </c>
      <c r="E96" s="90">
        <v>26412.0</v>
      </c>
      <c r="F96" s="41">
        <f>round(D96*E96,0)</f>
        <v>3327912</v>
      </c>
    </row>
    <row r="97">
      <c r="A97" s="33" t="s">
        <v>26</v>
      </c>
      <c r="B97" s="31"/>
      <c r="C97" s="32"/>
      <c r="D97" s="39"/>
      <c r="E97" s="90"/>
      <c r="F97" s="41">
        <f>round(F96*10%,0)</f>
        <v>332791</v>
      </c>
    </row>
    <row r="98">
      <c r="A98" s="33" t="s">
        <v>16</v>
      </c>
      <c r="B98" s="31"/>
      <c r="C98" s="32"/>
      <c r="D98" s="39"/>
      <c r="E98" s="90"/>
      <c r="F98" s="41">
        <f>F96+F97</f>
        <v>3660703</v>
      </c>
    </row>
    <row r="104">
      <c r="A104" s="52" t="s">
        <v>180</v>
      </c>
    </row>
    <row r="105">
      <c r="A105" s="53"/>
      <c r="B105" s="53"/>
      <c r="C105" s="53"/>
      <c r="D105" s="53"/>
      <c r="E105" s="53"/>
      <c r="F105" s="53"/>
    </row>
    <row r="106">
      <c r="A106" s="9" t="s">
        <v>4</v>
      </c>
      <c r="B106" s="9" t="s">
        <v>5</v>
      </c>
      <c r="C106" s="9" t="s">
        <v>6</v>
      </c>
      <c r="D106" s="9" t="s">
        <v>7</v>
      </c>
      <c r="E106" s="9" t="s">
        <v>8</v>
      </c>
      <c r="F106" s="9" t="s">
        <v>9</v>
      </c>
    </row>
    <row r="107">
      <c r="A107" s="13">
        <v>1.0</v>
      </c>
      <c r="B107" s="54" t="s">
        <v>181</v>
      </c>
      <c r="C107" s="55">
        <v>45992.0</v>
      </c>
      <c r="D107" s="22">
        <v>126.0</v>
      </c>
      <c r="E107" s="56"/>
      <c r="F107" s="28"/>
    </row>
    <row r="108">
      <c r="A108" s="30" t="s">
        <v>106</v>
      </c>
      <c r="B108" s="31"/>
      <c r="C108" s="32"/>
      <c r="D108" s="24">
        <f>round(D107*10%,2)</f>
        <v>12.6</v>
      </c>
      <c r="E108" s="57"/>
      <c r="F108" s="28"/>
    </row>
    <row r="109">
      <c r="A109" s="30" t="s">
        <v>24</v>
      </c>
      <c r="B109" s="31"/>
      <c r="C109" s="32"/>
      <c r="D109" s="24">
        <f>round(D107*10%,2)</f>
        <v>12.6</v>
      </c>
      <c r="E109" s="57"/>
      <c r="F109" s="28"/>
    </row>
    <row r="110">
      <c r="A110" s="33" t="s">
        <v>9</v>
      </c>
      <c r="B110" s="31"/>
      <c r="C110" s="32"/>
      <c r="D110" s="39">
        <f>D107+D108-D109</f>
        <v>126</v>
      </c>
      <c r="E110" s="90">
        <v>26377.0</v>
      </c>
      <c r="F110" s="41">
        <f>round(D110*E110,0)</f>
        <v>3323502</v>
      </c>
    </row>
    <row r="111">
      <c r="A111" s="33" t="s">
        <v>26</v>
      </c>
      <c r="B111" s="31"/>
      <c r="C111" s="32"/>
      <c r="D111" s="39"/>
      <c r="E111" s="90"/>
      <c r="F111" s="41">
        <f>round(F110*10%,0)</f>
        <v>332350</v>
      </c>
    </row>
    <row r="112">
      <c r="A112" s="33" t="s">
        <v>16</v>
      </c>
      <c r="B112" s="31"/>
      <c r="C112" s="32"/>
      <c r="D112" s="39"/>
      <c r="E112" s="90"/>
      <c r="F112" s="41">
        <f>F110+F111</f>
        <v>3655852</v>
      </c>
    </row>
    <row r="118">
      <c r="A118" s="52" t="s">
        <v>180</v>
      </c>
    </row>
    <row r="119">
      <c r="A119" s="53"/>
      <c r="B119" s="53"/>
      <c r="C119" s="53"/>
      <c r="D119" s="53"/>
      <c r="E119" s="53"/>
      <c r="F119" s="53"/>
    </row>
    <row r="120">
      <c r="A120" s="9" t="s">
        <v>4</v>
      </c>
      <c r="B120" s="9" t="s">
        <v>5</v>
      </c>
      <c r="C120" s="9" t="s">
        <v>6</v>
      </c>
      <c r="D120" s="9" t="s">
        <v>7</v>
      </c>
      <c r="E120" s="9" t="s">
        <v>8</v>
      </c>
      <c r="F120" s="9" t="s">
        <v>9</v>
      </c>
    </row>
    <row r="121">
      <c r="A121" s="13">
        <v>1.0</v>
      </c>
      <c r="B121" s="54" t="s">
        <v>181</v>
      </c>
      <c r="C121" s="55">
        <v>46023.0</v>
      </c>
      <c r="D121" s="22">
        <v>126.0</v>
      </c>
      <c r="E121" s="56"/>
      <c r="F121" s="28"/>
    </row>
    <row r="122">
      <c r="A122" s="30" t="s">
        <v>106</v>
      </c>
      <c r="B122" s="31"/>
      <c r="C122" s="32"/>
      <c r="D122" s="24">
        <f>round(D121*10%,2)</f>
        <v>12.6</v>
      </c>
      <c r="E122" s="57"/>
      <c r="F122" s="28"/>
    </row>
    <row r="123">
      <c r="A123" s="30" t="s">
        <v>24</v>
      </c>
      <c r="B123" s="31"/>
      <c r="C123" s="32"/>
      <c r="D123" s="24">
        <f>round(D121*10%,2)</f>
        <v>12.6</v>
      </c>
      <c r="E123" s="57"/>
      <c r="F123" s="28"/>
    </row>
    <row r="124">
      <c r="A124" s="33" t="s">
        <v>9</v>
      </c>
      <c r="B124" s="31"/>
      <c r="C124" s="32"/>
      <c r="D124" s="39">
        <f>D121+D122-D123</f>
        <v>126</v>
      </c>
      <c r="E124" s="90">
        <v>26145.0</v>
      </c>
      <c r="F124" s="41">
        <f>round(D124*E124,0)</f>
        <v>3294270</v>
      </c>
    </row>
    <row r="125">
      <c r="A125" s="33" t="s">
        <v>26</v>
      </c>
      <c r="B125" s="31"/>
      <c r="C125" s="32"/>
      <c r="D125" s="39"/>
      <c r="E125" s="90"/>
      <c r="F125" s="41">
        <f>round(F124*10%,0)</f>
        <v>329427</v>
      </c>
    </row>
    <row r="126">
      <c r="A126" s="33" t="s">
        <v>16</v>
      </c>
      <c r="B126" s="31"/>
      <c r="C126" s="32"/>
      <c r="D126" s="39"/>
      <c r="E126" s="90"/>
      <c r="F126" s="41">
        <f>F124+F125</f>
        <v>3623697</v>
      </c>
    </row>
    <row r="131">
      <c r="A131" s="52" t="s">
        <v>180</v>
      </c>
    </row>
    <row r="132">
      <c r="A132" s="53"/>
      <c r="B132" s="53"/>
      <c r="C132" s="53"/>
      <c r="D132" s="53"/>
      <c r="E132" s="53"/>
      <c r="F132" s="53"/>
    </row>
    <row r="133">
      <c r="A133" s="9" t="s">
        <v>4</v>
      </c>
      <c r="B133" s="9" t="s">
        <v>5</v>
      </c>
      <c r="C133" s="9" t="s">
        <v>6</v>
      </c>
      <c r="D133" s="9" t="s">
        <v>7</v>
      </c>
      <c r="E133" s="9" t="s">
        <v>8</v>
      </c>
      <c r="F133" s="9" t="s">
        <v>9</v>
      </c>
    </row>
    <row r="134">
      <c r="A134" s="13">
        <v>1.0</v>
      </c>
      <c r="B134" s="54" t="s">
        <v>181</v>
      </c>
      <c r="C134" s="55">
        <v>46054.0</v>
      </c>
      <c r="D134" s="22">
        <v>126.0</v>
      </c>
      <c r="E134" s="56"/>
      <c r="F134" s="28"/>
    </row>
    <row r="135">
      <c r="A135" s="30" t="s">
        <v>106</v>
      </c>
      <c r="B135" s="31"/>
      <c r="C135" s="32"/>
      <c r="D135" s="24">
        <f>round(D134*10%,2)</f>
        <v>12.6</v>
      </c>
      <c r="E135" s="57"/>
      <c r="F135" s="28"/>
    </row>
    <row r="136">
      <c r="A136" s="30" t="s">
        <v>24</v>
      </c>
      <c r="B136" s="31"/>
      <c r="C136" s="32"/>
      <c r="D136" s="24">
        <f>round(D134*10%,2)</f>
        <v>12.6</v>
      </c>
      <c r="E136" s="57"/>
      <c r="F136" s="28"/>
    </row>
    <row r="137">
      <c r="A137" s="33" t="s">
        <v>9</v>
      </c>
      <c r="B137" s="31"/>
      <c r="C137" s="32"/>
      <c r="D137" s="39">
        <f>D134+D135-D136</f>
        <v>126</v>
      </c>
      <c r="E137" s="90">
        <v>26240.0</v>
      </c>
      <c r="F137" s="41">
        <f>round(D137*E137,0)</f>
        <v>3306240</v>
      </c>
    </row>
    <row r="138">
      <c r="A138" s="33" t="s">
        <v>26</v>
      </c>
      <c r="B138" s="31"/>
      <c r="C138" s="32"/>
      <c r="D138" s="39"/>
      <c r="E138" s="90"/>
      <c r="F138" s="41">
        <f>round(F137*10%,0)</f>
        <v>330624</v>
      </c>
    </row>
    <row r="139">
      <c r="A139" s="33" t="s">
        <v>16</v>
      </c>
      <c r="B139" s="31"/>
      <c r="C139" s="32"/>
      <c r="D139" s="39"/>
      <c r="E139" s="90"/>
      <c r="F139" s="41">
        <f>F137+F138</f>
        <v>3636864</v>
      </c>
    </row>
    <row r="145">
      <c r="A145" s="52" t="s">
        <v>180</v>
      </c>
    </row>
    <row r="146">
      <c r="A146" s="53"/>
      <c r="B146" s="53"/>
      <c r="C146" s="53"/>
      <c r="D146" s="53"/>
      <c r="E146" s="53"/>
      <c r="F146" s="53"/>
    </row>
    <row r="147">
      <c r="A147" s="9" t="s">
        <v>4</v>
      </c>
      <c r="B147" s="9" t="s">
        <v>5</v>
      </c>
      <c r="C147" s="9" t="s">
        <v>6</v>
      </c>
      <c r="D147" s="9" t="s">
        <v>7</v>
      </c>
      <c r="E147" s="9" t="s">
        <v>8</v>
      </c>
      <c r="F147" s="9" t="s">
        <v>9</v>
      </c>
    </row>
    <row r="148">
      <c r="A148" s="13">
        <v>1.0</v>
      </c>
      <c r="B148" s="54" t="s">
        <v>181</v>
      </c>
      <c r="C148" s="55">
        <v>46082.0</v>
      </c>
      <c r="D148" s="22">
        <v>126.0</v>
      </c>
      <c r="E148" s="56"/>
      <c r="F148" s="28"/>
    </row>
    <row r="149">
      <c r="A149" s="30" t="s">
        <v>106</v>
      </c>
      <c r="B149" s="31"/>
      <c r="C149" s="32"/>
      <c r="D149" s="24">
        <f>round(D148*10%,2)</f>
        <v>12.6</v>
      </c>
      <c r="E149" s="57"/>
      <c r="F149" s="28"/>
    </row>
    <row r="150">
      <c r="A150" s="30" t="s">
        <v>24</v>
      </c>
      <c r="B150" s="31"/>
      <c r="C150" s="32"/>
      <c r="D150" s="24">
        <f>round(D148*10%,2)</f>
        <v>12.6</v>
      </c>
      <c r="E150" s="57"/>
      <c r="F150" s="28"/>
    </row>
    <row r="151">
      <c r="A151" s="33" t="s">
        <v>9</v>
      </c>
      <c r="B151" s="31"/>
      <c r="C151" s="32"/>
      <c r="D151" s="39">
        <f>D148+D149-D150</f>
        <v>126</v>
      </c>
      <c r="E151" s="90">
        <v>26357.0</v>
      </c>
      <c r="F151" s="41">
        <f>round(D151*E151,0)</f>
        <v>3320982</v>
      </c>
    </row>
    <row r="152">
      <c r="A152" s="33" t="s">
        <v>26</v>
      </c>
      <c r="B152" s="31"/>
      <c r="C152" s="32"/>
      <c r="D152" s="39"/>
      <c r="E152" s="90"/>
      <c r="F152" s="41">
        <f>round(F151*10%,0)</f>
        <v>332098</v>
      </c>
    </row>
    <row r="153">
      <c r="A153" s="33" t="s">
        <v>16</v>
      </c>
      <c r="B153" s="31"/>
      <c r="C153" s="32"/>
      <c r="D153" s="39"/>
      <c r="E153" s="90"/>
      <c r="F153" s="41">
        <f>F151+F152</f>
        <v>3653080</v>
      </c>
    </row>
    <row r="158">
      <c r="A158" s="52" t="s">
        <v>180</v>
      </c>
    </row>
    <row r="159">
      <c r="A159" s="53"/>
      <c r="B159" s="53"/>
      <c r="C159" s="53"/>
      <c r="D159" s="53"/>
      <c r="E159" s="53"/>
      <c r="F159" s="53"/>
    </row>
    <row r="160">
      <c r="A160" s="9" t="s">
        <v>4</v>
      </c>
      <c r="B160" s="9" t="s">
        <v>5</v>
      </c>
      <c r="C160" s="9" t="s">
        <v>6</v>
      </c>
      <c r="D160" s="9" t="s">
        <v>7</v>
      </c>
      <c r="E160" s="9" t="s">
        <v>8</v>
      </c>
      <c r="F160" s="9" t="s">
        <v>9</v>
      </c>
    </row>
    <row r="161">
      <c r="A161" s="13">
        <v>1.0</v>
      </c>
      <c r="B161" s="54" t="s">
        <v>181</v>
      </c>
      <c r="C161" s="55">
        <v>46113.0</v>
      </c>
      <c r="D161" s="22">
        <v>126.0</v>
      </c>
      <c r="E161" s="56"/>
      <c r="F161" s="28"/>
    </row>
    <row r="162">
      <c r="A162" s="30" t="s">
        <v>106</v>
      </c>
      <c r="B162" s="31"/>
      <c r="C162" s="32"/>
      <c r="D162" s="24">
        <f>round(D161*10%,2)</f>
        <v>12.6</v>
      </c>
      <c r="E162" s="57"/>
      <c r="F162" s="28"/>
    </row>
    <row r="163">
      <c r="A163" s="30" t="s">
        <v>24</v>
      </c>
      <c r="B163" s="31"/>
      <c r="C163" s="32"/>
      <c r="D163" s="24">
        <f>round(D161*10%,2)</f>
        <v>12.6</v>
      </c>
      <c r="E163" s="57"/>
      <c r="F163" s="28"/>
    </row>
    <row r="164">
      <c r="A164" s="33" t="s">
        <v>9</v>
      </c>
      <c r="B164" s="31"/>
      <c r="C164" s="32"/>
      <c r="D164" s="39">
        <f>D161+D162-D163</f>
        <v>126</v>
      </c>
      <c r="E164" s="90">
        <v>26368.0</v>
      </c>
      <c r="F164" s="41">
        <f>round(D164*E164,0)</f>
        <v>3322368</v>
      </c>
    </row>
    <row r="165">
      <c r="A165" s="33" t="s">
        <v>26</v>
      </c>
      <c r="B165" s="31"/>
      <c r="C165" s="32"/>
      <c r="D165" s="39"/>
      <c r="E165" s="90"/>
      <c r="F165" s="41">
        <f>round(F164*10%,0)</f>
        <v>332237</v>
      </c>
    </row>
    <row r="166">
      <c r="A166" s="33" t="s">
        <v>16</v>
      </c>
      <c r="B166" s="31"/>
      <c r="C166" s="32"/>
      <c r="D166" s="39"/>
      <c r="E166" s="90"/>
      <c r="F166" s="41">
        <f>F164+F165</f>
        <v>3654605</v>
      </c>
    </row>
    <row r="172">
      <c r="A172" s="52" t="s">
        <v>180</v>
      </c>
    </row>
    <row r="173">
      <c r="A173" s="53"/>
      <c r="B173" s="53"/>
      <c r="C173" s="53"/>
      <c r="D173" s="53"/>
      <c r="E173" s="53"/>
      <c r="F173" s="53"/>
    </row>
    <row r="174">
      <c r="A174" s="9" t="s">
        <v>4</v>
      </c>
      <c r="B174" s="9" t="s">
        <v>5</v>
      </c>
      <c r="C174" s="9" t="s">
        <v>6</v>
      </c>
      <c r="D174" s="9" t="s">
        <v>7</v>
      </c>
      <c r="E174" s="9" t="s">
        <v>8</v>
      </c>
      <c r="F174" s="9" t="s">
        <v>9</v>
      </c>
    </row>
    <row r="175">
      <c r="A175" s="13">
        <v>1.0</v>
      </c>
      <c r="B175" s="54" t="s">
        <v>181</v>
      </c>
      <c r="C175" s="55">
        <v>46143.0</v>
      </c>
      <c r="D175" s="22">
        <v>126.0</v>
      </c>
      <c r="E175" s="56"/>
      <c r="F175" s="28"/>
    </row>
    <row r="176">
      <c r="A176" s="30" t="s">
        <v>106</v>
      </c>
      <c r="B176" s="31"/>
      <c r="C176" s="32"/>
      <c r="D176" s="24">
        <f>round(D175*10%,2)</f>
        <v>12.6</v>
      </c>
      <c r="E176" s="57"/>
      <c r="F176" s="28"/>
    </row>
    <row r="177">
      <c r="A177" s="30" t="s">
        <v>24</v>
      </c>
      <c r="B177" s="31"/>
      <c r="C177" s="32"/>
      <c r="D177" s="24">
        <f>round(D175*10%,2)</f>
        <v>12.6</v>
      </c>
      <c r="E177" s="57"/>
      <c r="F177" s="28"/>
    </row>
    <row r="178">
      <c r="A178" s="33" t="s">
        <v>9</v>
      </c>
      <c r="B178" s="31"/>
      <c r="C178" s="32"/>
      <c r="D178" s="39">
        <f>D175+D176-D177</f>
        <v>126</v>
      </c>
      <c r="E178" s="90">
        <v>26395.0</v>
      </c>
      <c r="F178" s="41">
        <f>round(D178*E178,0)</f>
        <v>3325770</v>
      </c>
    </row>
    <row r="179">
      <c r="A179" s="33" t="s">
        <v>26</v>
      </c>
      <c r="B179" s="31"/>
      <c r="C179" s="32"/>
      <c r="D179" s="39"/>
      <c r="E179" s="90"/>
      <c r="F179" s="41">
        <f>round(F178*10%,0)</f>
        <v>332577</v>
      </c>
    </row>
    <row r="180">
      <c r="A180" s="33" t="s">
        <v>16</v>
      </c>
      <c r="B180" s="31"/>
      <c r="C180" s="32"/>
      <c r="D180" s="39"/>
      <c r="E180" s="90"/>
      <c r="F180" s="41">
        <f>F178+F179</f>
        <v>3658347</v>
      </c>
    </row>
    <row r="186">
      <c r="A186" s="52" t="s">
        <v>180</v>
      </c>
    </row>
    <row r="187">
      <c r="A187" s="53"/>
      <c r="B187" s="53"/>
      <c r="C187" s="53"/>
      <c r="D187" s="53"/>
      <c r="E187" s="53"/>
      <c r="F187" s="53"/>
    </row>
    <row r="188">
      <c r="A188" s="9" t="s">
        <v>4</v>
      </c>
      <c r="B188" s="9" t="s">
        <v>5</v>
      </c>
      <c r="C188" s="9" t="s">
        <v>6</v>
      </c>
      <c r="D188" s="9" t="s">
        <v>7</v>
      </c>
      <c r="E188" s="9" t="s">
        <v>8</v>
      </c>
      <c r="F188" s="9" t="s">
        <v>9</v>
      </c>
    </row>
    <row r="189">
      <c r="A189" s="13">
        <v>1.0</v>
      </c>
      <c r="B189" s="54" t="s">
        <v>181</v>
      </c>
      <c r="C189" s="55">
        <v>46174.0</v>
      </c>
      <c r="D189" s="22">
        <v>126.0</v>
      </c>
      <c r="E189" s="56"/>
      <c r="F189" s="28"/>
    </row>
    <row r="190">
      <c r="A190" s="30" t="s">
        <v>106</v>
      </c>
      <c r="B190" s="31"/>
      <c r="C190" s="32"/>
      <c r="D190" s="24">
        <f>round(D189*10%,2)</f>
        <v>12.6</v>
      </c>
      <c r="E190" s="57"/>
      <c r="F190" s="28"/>
    </row>
    <row r="191">
      <c r="A191" s="30" t="s">
        <v>24</v>
      </c>
      <c r="B191" s="31"/>
      <c r="C191" s="32"/>
      <c r="D191" s="24">
        <f>round(D189*10%,2)</f>
        <v>12.6</v>
      </c>
      <c r="E191" s="57"/>
      <c r="F191" s="28"/>
    </row>
    <row r="192">
      <c r="A192" s="33" t="s">
        <v>9</v>
      </c>
      <c r="B192" s="31"/>
      <c r="C192" s="32"/>
      <c r="D192" s="39">
        <f>D189+D190-D191</f>
        <v>126</v>
      </c>
      <c r="E192" s="90">
        <v>26466.0</v>
      </c>
      <c r="F192" s="41">
        <f>round(D192*E192,0)</f>
        <v>3334716</v>
      </c>
    </row>
    <row r="193">
      <c r="A193" s="33" t="s">
        <v>26</v>
      </c>
      <c r="B193" s="31"/>
      <c r="C193" s="32"/>
      <c r="D193" s="39"/>
      <c r="E193" s="90"/>
      <c r="F193" s="41">
        <f>round(F192*10%,0)</f>
        <v>333472</v>
      </c>
    </row>
    <row r="194">
      <c r="A194" s="33" t="s">
        <v>16</v>
      </c>
      <c r="B194" s="31"/>
      <c r="C194" s="32"/>
      <c r="D194" s="39"/>
      <c r="E194" s="90"/>
      <c r="F194" s="41">
        <f>F192+F193</f>
        <v>3668188</v>
      </c>
    </row>
  </sheetData>
  <mergeCells count="90">
    <mergeCell ref="A108:C108"/>
    <mergeCell ref="A109:C109"/>
    <mergeCell ref="A110:C110"/>
    <mergeCell ref="A111:C111"/>
    <mergeCell ref="A112:C112"/>
    <mergeCell ref="A118:F118"/>
    <mergeCell ref="A122:C122"/>
    <mergeCell ref="A123:C123"/>
    <mergeCell ref="A124:C124"/>
    <mergeCell ref="A125:C125"/>
    <mergeCell ref="A126:C126"/>
    <mergeCell ref="A131:F131"/>
    <mergeCell ref="A135:C135"/>
    <mergeCell ref="A136:C136"/>
    <mergeCell ref="A137:C137"/>
    <mergeCell ref="A138:C138"/>
    <mergeCell ref="A139:C139"/>
    <mergeCell ref="A145:F145"/>
    <mergeCell ref="A149:C149"/>
    <mergeCell ref="A150:C150"/>
    <mergeCell ref="A151:C151"/>
    <mergeCell ref="A152:C152"/>
    <mergeCell ref="A153:C153"/>
    <mergeCell ref="A158:F158"/>
    <mergeCell ref="A162:C162"/>
    <mergeCell ref="A163:C163"/>
    <mergeCell ref="A164:C164"/>
    <mergeCell ref="A165:C165"/>
    <mergeCell ref="A186:F186"/>
    <mergeCell ref="A190:C190"/>
    <mergeCell ref="A191:C191"/>
    <mergeCell ref="A192:C192"/>
    <mergeCell ref="A193:C193"/>
    <mergeCell ref="A194:C194"/>
    <mergeCell ref="A166:C166"/>
    <mergeCell ref="A172:F172"/>
    <mergeCell ref="A176:C176"/>
    <mergeCell ref="A177:C177"/>
    <mergeCell ref="A178:C178"/>
    <mergeCell ref="A179:C179"/>
    <mergeCell ref="A180:C180"/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50:F50"/>
    <mergeCell ref="A54:C54"/>
    <mergeCell ref="A55:C55"/>
    <mergeCell ref="A56:C56"/>
    <mergeCell ref="A57:C57"/>
    <mergeCell ref="A58:C58"/>
    <mergeCell ref="A63:F63"/>
    <mergeCell ref="A67:C67"/>
    <mergeCell ref="A68:C68"/>
    <mergeCell ref="A69:C69"/>
    <mergeCell ref="A70:C70"/>
    <mergeCell ref="A71:C71"/>
    <mergeCell ref="A77:F77"/>
    <mergeCell ref="A81:C81"/>
    <mergeCell ref="A82:C82"/>
    <mergeCell ref="A83:C83"/>
    <mergeCell ref="A84:C84"/>
    <mergeCell ref="A85:C85"/>
    <mergeCell ref="A90:F90"/>
    <mergeCell ref="A94:C94"/>
    <mergeCell ref="A95:C95"/>
    <mergeCell ref="A96:C96"/>
    <mergeCell ref="A97:C97"/>
    <mergeCell ref="A98:C98"/>
    <mergeCell ref="A104:F104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50.63"/>
    <col customWidth="1" min="3" max="3" width="10.75"/>
    <col customWidth="1" min="4" max="4" width="18.13"/>
    <col customWidth="1" min="5" max="5" width="10.0"/>
    <col customWidth="1" min="6" max="6" width="17.13"/>
    <col customWidth="1" min="7" max="26" width="10.13"/>
  </cols>
  <sheetData>
    <row r="1">
      <c r="A1" s="52" t="s">
        <v>179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182</v>
      </c>
      <c r="C4" s="55">
        <v>45748.0</v>
      </c>
      <c r="D4" s="22">
        <v>48.74</v>
      </c>
      <c r="E4" s="56"/>
      <c r="F4" s="28"/>
    </row>
    <row r="5">
      <c r="A5" s="30" t="s">
        <v>104</v>
      </c>
      <c r="B5" s="31"/>
      <c r="C5" s="32"/>
      <c r="D5" s="24">
        <f>round(D4*5.26%,2)</f>
        <v>2.56</v>
      </c>
      <c r="E5" s="57"/>
      <c r="F5" s="28"/>
    </row>
    <row r="6">
      <c r="A6" s="30" t="s">
        <v>24</v>
      </c>
      <c r="B6" s="31"/>
      <c r="C6" s="32"/>
      <c r="D6" s="24">
        <f>round(D4*10%,2)</f>
        <v>4.87</v>
      </c>
      <c r="E6" s="57"/>
      <c r="F6" s="28"/>
    </row>
    <row r="7">
      <c r="A7" s="33" t="s">
        <v>9</v>
      </c>
      <c r="B7" s="31"/>
      <c r="C7" s="32"/>
      <c r="D7" s="39">
        <f>D4+D5-D6</f>
        <v>46.43</v>
      </c>
      <c r="E7" s="90">
        <v>26190.0</v>
      </c>
      <c r="F7" s="41">
        <f>round(D7*E7,0)</f>
        <v>1216002</v>
      </c>
    </row>
    <row r="8">
      <c r="A8" s="33" t="s">
        <v>26</v>
      </c>
      <c r="B8" s="31"/>
      <c r="C8" s="32"/>
      <c r="D8" s="39"/>
      <c r="E8" s="90"/>
      <c r="F8" s="41">
        <f>round(F7*10%,0)</f>
        <v>121600</v>
      </c>
    </row>
    <row r="9">
      <c r="A9" s="33" t="s">
        <v>16</v>
      </c>
      <c r="B9" s="31"/>
      <c r="C9" s="32"/>
      <c r="D9" s="39"/>
      <c r="E9" s="90"/>
      <c r="F9" s="41">
        <f>F7+F8</f>
        <v>1337602</v>
      </c>
    </row>
    <row r="13">
      <c r="A13" s="52" t="s">
        <v>179</v>
      </c>
    </row>
    <row r="14">
      <c r="A14" s="53"/>
      <c r="B14" s="53"/>
      <c r="C14" s="53"/>
      <c r="D14" s="53"/>
      <c r="E14" s="53"/>
      <c r="F14" s="53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>
      <c r="A16" s="13">
        <v>1.0</v>
      </c>
      <c r="B16" s="54" t="s">
        <v>182</v>
      </c>
      <c r="C16" s="55">
        <v>45778.0</v>
      </c>
      <c r="D16" s="22">
        <v>48.74</v>
      </c>
      <c r="E16" s="56"/>
      <c r="F16" s="28"/>
    </row>
    <row r="17">
      <c r="A17" s="30" t="s">
        <v>104</v>
      </c>
      <c r="B17" s="31"/>
      <c r="C17" s="32"/>
      <c r="D17" s="24">
        <f>round(D16*5.26%,2)</f>
        <v>2.56</v>
      </c>
      <c r="E17" s="57"/>
      <c r="F17" s="28"/>
    </row>
    <row r="18">
      <c r="A18" s="30" t="s">
        <v>24</v>
      </c>
      <c r="B18" s="31"/>
      <c r="C18" s="32"/>
      <c r="D18" s="24">
        <f>round(D16*10%,2)</f>
        <v>4.87</v>
      </c>
      <c r="E18" s="57"/>
      <c r="F18" s="28"/>
    </row>
    <row r="19">
      <c r="A19" s="33" t="s">
        <v>9</v>
      </c>
      <c r="B19" s="31"/>
      <c r="C19" s="32"/>
      <c r="D19" s="39">
        <f>D16+D17-D18</f>
        <v>46.43</v>
      </c>
      <c r="E19" s="90">
        <v>26225.0</v>
      </c>
      <c r="F19" s="41">
        <f>round(D19*E19,0)</f>
        <v>1217627</v>
      </c>
    </row>
    <row r="20">
      <c r="A20" s="33" t="s">
        <v>26</v>
      </c>
      <c r="B20" s="31"/>
      <c r="C20" s="32"/>
      <c r="D20" s="39"/>
      <c r="E20" s="90"/>
      <c r="F20" s="41">
        <f>round(F19*10%,0)</f>
        <v>121763</v>
      </c>
    </row>
    <row r="21">
      <c r="A21" s="33" t="s">
        <v>16</v>
      </c>
      <c r="B21" s="31"/>
      <c r="C21" s="32"/>
      <c r="D21" s="39"/>
      <c r="E21" s="90"/>
      <c r="F21" s="41">
        <f>F19+F20</f>
        <v>1339390</v>
      </c>
    </row>
    <row r="25">
      <c r="A25" s="52" t="s">
        <v>179</v>
      </c>
    </row>
    <row r="26">
      <c r="A26" s="53"/>
      <c r="B26" s="53"/>
      <c r="C26" s="53"/>
      <c r="D26" s="53"/>
      <c r="E26" s="53"/>
      <c r="F26" s="53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</row>
    <row r="28">
      <c r="A28" s="13">
        <v>1.0</v>
      </c>
      <c r="B28" s="54" t="s">
        <v>182</v>
      </c>
      <c r="C28" s="55">
        <v>45778.0</v>
      </c>
      <c r="D28" s="22">
        <v>48.74</v>
      </c>
      <c r="E28" s="56"/>
      <c r="F28" s="28"/>
    </row>
    <row r="29">
      <c r="A29" s="30" t="s">
        <v>104</v>
      </c>
      <c r="B29" s="31"/>
      <c r="C29" s="32"/>
      <c r="D29" s="24">
        <f>round(D28*5.26%,2)</f>
        <v>2.56</v>
      </c>
      <c r="E29" s="57"/>
      <c r="F29" s="28"/>
    </row>
    <row r="30">
      <c r="A30" s="30" t="s">
        <v>24</v>
      </c>
      <c r="B30" s="31"/>
      <c r="C30" s="32"/>
      <c r="D30" s="24">
        <f>round(D28*10%,2)</f>
        <v>4.87</v>
      </c>
      <c r="E30" s="57"/>
      <c r="F30" s="28"/>
    </row>
    <row r="31">
      <c r="A31" s="33" t="s">
        <v>9</v>
      </c>
      <c r="B31" s="31"/>
      <c r="C31" s="32"/>
      <c r="D31" s="39">
        <f>D28+D29-D30</f>
        <v>46.43</v>
      </c>
      <c r="E31" s="90">
        <v>26225.0</v>
      </c>
      <c r="F31" s="41">
        <f>round(D31*E31,0)</f>
        <v>1217627</v>
      </c>
    </row>
    <row r="32">
      <c r="A32" s="33" t="s">
        <v>26</v>
      </c>
      <c r="B32" s="31"/>
      <c r="C32" s="32"/>
      <c r="D32" s="39"/>
      <c r="E32" s="90"/>
      <c r="F32" s="41">
        <f>round(F31*10%,0)</f>
        <v>121763</v>
      </c>
    </row>
    <row r="33">
      <c r="A33" s="33" t="s">
        <v>16</v>
      </c>
      <c r="B33" s="31"/>
      <c r="C33" s="32"/>
      <c r="D33" s="39"/>
      <c r="E33" s="90"/>
      <c r="F33" s="41">
        <f>F31+F32</f>
        <v>1339390</v>
      </c>
    </row>
    <row r="37">
      <c r="A37" s="52" t="s">
        <v>179</v>
      </c>
    </row>
    <row r="38">
      <c r="A38" s="53"/>
      <c r="B38" s="53"/>
      <c r="C38" s="53"/>
      <c r="D38" s="53"/>
      <c r="E38" s="53"/>
      <c r="F38" s="53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</row>
    <row r="40">
      <c r="A40" s="13">
        <v>1.0</v>
      </c>
      <c r="B40" s="54" t="s">
        <v>182</v>
      </c>
      <c r="C40" s="55">
        <v>45809.0</v>
      </c>
      <c r="D40" s="22">
        <v>43.74</v>
      </c>
      <c r="E40" s="56"/>
      <c r="F40" s="28"/>
    </row>
    <row r="41">
      <c r="A41" s="30" t="s">
        <v>104</v>
      </c>
      <c r="B41" s="31"/>
      <c r="C41" s="32"/>
      <c r="D41" s="24">
        <f>round(D40*5.26%,2)</f>
        <v>2.3</v>
      </c>
      <c r="E41" s="57"/>
      <c r="F41" s="28"/>
    </row>
    <row r="42">
      <c r="A42" s="30" t="s">
        <v>24</v>
      </c>
      <c r="B42" s="31"/>
      <c r="C42" s="32"/>
      <c r="D42" s="24">
        <f>round(D40*10%,2)</f>
        <v>4.37</v>
      </c>
      <c r="E42" s="57"/>
      <c r="F42" s="28"/>
    </row>
    <row r="43">
      <c r="A43" s="33" t="s">
        <v>9</v>
      </c>
      <c r="B43" s="31"/>
      <c r="C43" s="32"/>
      <c r="D43" s="39">
        <f>D40+D41-D42</f>
        <v>41.67</v>
      </c>
      <c r="E43" s="90">
        <v>26300.0</v>
      </c>
      <c r="F43" s="41">
        <f>round(D43*E43,0)</f>
        <v>1095921</v>
      </c>
    </row>
    <row r="44">
      <c r="A44" s="33" t="s">
        <v>26</v>
      </c>
      <c r="B44" s="31"/>
      <c r="C44" s="32"/>
      <c r="D44" s="39"/>
      <c r="E44" s="90"/>
      <c r="F44" s="41">
        <f>round(F43*10%,0)</f>
        <v>109592</v>
      </c>
    </row>
    <row r="45">
      <c r="A45" s="33" t="s">
        <v>16</v>
      </c>
      <c r="B45" s="31"/>
      <c r="C45" s="32"/>
      <c r="D45" s="39"/>
      <c r="E45" s="90"/>
      <c r="F45" s="41">
        <f>F43+F44</f>
        <v>1205513</v>
      </c>
    </row>
    <row r="49">
      <c r="A49" s="52" t="s">
        <v>179</v>
      </c>
    </row>
    <row r="50">
      <c r="A50" s="53"/>
      <c r="B50" s="53"/>
      <c r="C50" s="53"/>
      <c r="D50" s="53"/>
      <c r="E50" s="53"/>
      <c r="F50" s="53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</row>
    <row r="52">
      <c r="A52" s="13">
        <v>1.0</v>
      </c>
      <c r="B52" s="54" t="s">
        <v>182</v>
      </c>
      <c r="C52" s="55">
        <v>45839.0</v>
      </c>
      <c r="D52" s="22">
        <v>0.74</v>
      </c>
      <c r="E52" s="56"/>
      <c r="F52" s="28"/>
    </row>
    <row r="53">
      <c r="A53" s="30" t="s">
        <v>106</v>
      </c>
      <c r="B53" s="31"/>
      <c r="C53" s="32"/>
      <c r="D53" s="24">
        <f>round(D52*10%,2)</f>
        <v>0.07</v>
      </c>
      <c r="E53" s="57"/>
      <c r="F53" s="28"/>
    </row>
    <row r="54">
      <c r="A54" s="30" t="s">
        <v>24</v>
      </c>
      <c r="B54" s="31"/>
      <c r="C54" s="32"/>
      <c r="D54" s="24">
        <f>round(D52*10%,2)</f>
        <v>0.07</v>
      </c>
      <c r="E54" s="57"/>
      <c r="F54" s="28"/>
    </row>
    <row r="55">
      <c r="A55" s="33" t="s">
        <v>9</v>
      </c>
      <c r="B55" s="31"/>
      <c r="C55" s="32"/>
      <c r="D55" s="39">
        <f>D52+D53-D54</f>
        <v>0.74</v>
      </c>
      <c r="E55" s="90">
        <v>26382.0</v>
      </c>
      <c r="F55" s="41">
        <f>round(D55*E55,0)</f>
        <v>19523</v>
      </c>
    </row>
    <row r="56">
      <c r="A56" s="33" t="s">
        <v>26</v>
      </c>
      <c r="B56" s="31"/>
      <c r="C56" s="32"/>
      <c r="D56" s="39"/>
      <c r="E56" s="90"/>
      <c r="F56" s="41">
        <f>round(F55*10%,0)</f>
        <v>1952</v>
      </c>
    </row>
    <row r="57">
      <c r="A57" s="33" t="s">
        <v>16</v>
      </c>
      <c r="B57" s="31"/>
      <c r="C57" s="32"/>
      <c r="D57" s="39"/>
      <c r="E57" s="90"/>
      <c r="F57" s="41">
        <f>F55+F56</f>
        <v>21475</v>
      </c>
    </row>
    <row r="62">
      <c r="A62" s="52" t="s">
        <v>179</v>
      </c>
    </row>
    <row r="63">
      <c r="A63" s="53"/>
      <c r="B63" s="53"/>
      <c r="C63" s="53"/>
      <c r="D63" s="53"/>
      <c r="E63" s="53"/>
      <c r="F63" s="53"/>
    </row>
    <row r="64">
      <c r="A64" s="9" t="s">
        <v>4</v>
      </c>
      <c r="B64" s="9" t="s">
        <v>5</v>
      </c>
      <c r="C64" s="9" t="s">
        <v>6</v>
      </c>
      <c r="D64" s="9" t="s">
        <v>7</v>
      </c>
      <c r="E64" s="9" t="s">
        <v>8</v>
      </c>
      <c r="F64" s="9" t="s">
        <v>9</v>
      </c>
    </row>
    <row r="65">
      <c r="A65" s="13">
        <v>1.0</v>
      </c>
      <c r="B65" s="54" t="s">
        <v>182</v>
      </c>
      <c r="C65" s="55">
        <v>45870.0</v>
      </c>
      <c r="D65" s="22">
        <v>0.74</v>
      </c>
      <c r="E65" s="56"/>
      <c r="F65" s="28"/>
    </row>
    <row r="66">
      <c r="A66" s="30" t="s">
        <v>106</v>
      </c>
      <c r="B66" s="31"/>
      <c r="C66" s="32"/>
      <c r="D66" s="24">
        <f>round(D65*10%,2)</f>
        <v>0.07</v>
      </c>
      <c r="E66" s="57"/>
      <c r="F66" s="28"/>
    </row>
    <row r="67">
      <c r="A67" s="30" t="s">
        <v>24</v>
      </c>
      <c r="B67" s="31"/>
      <c r="C67" s="32"/>
      <c r="D67" s="24">
        <f>round(D65*10%,2)</f>
        <v>0.07</v>
      </c>
      <c r="E67" s="57"/>
      <c r="F67" s="28"/>
    </row>
    <row r="68">
      <c r="A68" s="33" t="s">
        <v>9</v>
      </c>
      <c r="B68" s="31"/>
      <c r="C68" s="32"/>
      <c r="D68" s="39">
        <f>D65+D66-D67</f>
        <v>0.74</v>
      </c>
      <c r="E68" s="90">
        <v>26502.0</v>
      </c>
      <c r="F68" s="41">
        <f>round(D68*E68,0)</f>
        <v>19611</v>
      </c>
    </row>
    <row r="69">
      <c r="A69" s="33" t="s">
        <v>26</v>
      </c>
      <c r="B69" s="31"/>
      <c r="C69" s="32"/>
      <c r="D69" s="39"/>
      <c r="E69" s="90"/>
      <c r="F69" s="41">
        <f>round(F68*10%,0)</f>
        <v>1961</v>
      </c>
    </row>
    <row r="70">
      <c r="A70" s="33" t="s">
        <v>16</v>
      </c>
      <c r="B70" s="31"/>
      <c r="C70" s="32"/>
      <c r="D70" s="39"/>
      <c r="E70" s="90"/>
      <c r="F70" s="41">
        <f>F68+F69</f>
        <v>21572</v>
      </c>
    </row>
    <row r="75">
      <c r="A75" s="52" t="s">
        <v>179</v>
      </c>
    </row>
    <row r="76">
      <c r="A76" s="53"/>
      <c r="B76" s="53"/>
      <c r="C76" s="53"/>
      <c r="D76" s="53"/>
      <c r="E76" s="53"/>
      <c r="F76" s="53"/>
    </row>
    <row r="77">
      <c r="A77" s="9" t="s">
        <v>4</v>
      </c>
      <c r="B77" s="9" t="s">
        <v>5</v>
      </c>
      <c r="C77" s="9" t="s">
        <v>6</v>
      </c>
      <c r="D77" s="9" t="s">
        <v>7</v>
      </c>
      <c r="E77" s="9" t="s">
        <v>8</v>
      </c>
      <c r="F77" s="9" t="s">
        <v>9</v>
      </c>
    </row>
    <row r="78">
      <c r="A78" s="13">
        <v>1.0</v>
      </c>
      <c r="B78" s="54" t="s">
        <v>182</v>
      </c>
      <c r="C78" s="55">
        <v>45901.0</v>
      </c>
      <c r="D78" s="22">
        <v>0.29</v>
      </c>
      <c r="E78" s="56"/>
      <c r="F78" s="28"/>
    </row>
    <row r="79">
      <c r="A79" s="30" t="s">
        <v>106</v>
      </c>
      <c r="B79" s="31"/>
      <c r="C79" s="32"/>
      <c r="D79" s="24">
        <f>round(D78*10%,2)</f>
        <v>0.03</v>
      </c>
      <c r="E79" s="57"/>
      <c r="F79" s="28"/>
    </row>
    <row r="80">
      <c r="A80" s="30" t="s">
        <v>24</v>
      </c>
      <c r="B80" s="31"/>
      <c r="C80" s="32"/>
      <c r="D80" s="24">
        <f>round(D78*10%,2)</f>
        <v>0.03</v>
      </c>
      <c r="E80" s="57"/>
      <c r="F80" s="28"/>
    </row>
    <row r="81">
      <c r="A81" s="33" t="s">
        <v>9</v>
      </c>
      <c r="B81" s="31"/>
      <c r="C81" s="32"/>
      <c r="D81" s="39">
        <f>D78+D79-D80</f>
        <v>0.29</v>
      </c>
      <c r="E81" s="90">
        <v>26446.0</v>
      </c>
      <c r="F81" s="41">
        <f>round(D81*E81,0)</f>
        <v>7669</v>
      </c>
    </row>
    <row r="82">
      <c r="A82" s="33" t="s">
        <v>26</v>
      </c>
      <c r="B82" s="31"/>
      <c r="C82" s="32"/>
      <c r="D82" s="39"/>
      <c r="E82" s="90"/>
      <c r="F82" s="41">
        <f>round(F81*10%,0)</f>
        <v>767</v>
      </c>
    </row>
    <row r="83">
      <c r="A83" s="33" t="s">
        <v>16</v>
      </c>
      <c r="B83" s="31"/>
      <c r="C83" s="32"/>
      <c r="D83" s="39"/>
      <c r="E83" s="90"/>
      <c r="F83" s="41">
        <f>F81+F82</f>
        <v>8436</v>
      </c>
    </row>
  </sheetData>
  <mergeCells count="42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49:F49"/>
    <mergeCell ref="A53:C53"/>
    <mergeCell ref="A54:C54"/>
    <mergeCell ref="A55:C55"/>
    <mergeCell ref="A70:C70"/>
    <mergeCell ref="A75:F75"/>
    <mergeCell ref="A79:C79"/>
    <mergeCell ref="A80:C80"/>
    <mergeCell ref="A81:C81"/>
    <mergeCell ref="A82:C82"/>
    <mergeCell ref="A83:C83"/>
    <mergeCell ref="A56:C56"/>
    <mergeCell ref="A57:C57"/>
    <mergeCell ref="A62:F62"/>
    <mergeCell ref="A66:C66"/>
    <mergeCell ref="A67:C67"/>
    <mergeCell ref="A68:C68"/>
    <mergeCell ref="A69:C69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4.0"/>
    <col customWidth="1" min="3" max="3" width="11.63"/>
    <col customWidth="1" min="4" max="4" width="21.0"/>
    <col customWidth="1" min="5" max="5" width="11.75"/>
    <col customWidth="1" min="6" max="6" width="18.63"/>
  </cols>
  <sheetData>
    <row r="1">
      <c r="A1" s="52" t="s">
        <v>183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184</v>
      </c>
      <c r="C4" s="55">
        <v>46023.0</v>
      </c>
      <c r="D4" s="22">
        <v>16.4</v>
      </c>
      <c r="E4" s="56"/>
      <c r="F4" s="28"/>
    </row>
    <row r="5">
      <c r="A5" s="30" t="s">
        <v>113</v>
      </c>
      <c r="B5" s="31"/>
      <c r="C5" s="32"/>
      <c r="D5" s="24">
        <f>round(D4*10%,2)</f>
        <v>1.64</v>
      </c>
      <c r="E5" s="57"/>
      <c r="F5" s="28"/>
    </row>
    <row r="6">
      <c r="A6" s="30" t="s">
        <v>106</v>
      </c>
      <c r="B6" s="31"/>
      <c r="C6" s="32"/>
      <c r="D6" s="24">
        <f>round(D4*10%,2)</f>
        <v>1.64</v>
      </c>
      <c r="E6" s="57"/>
      <c r="F6" s="28"/>
    </row>
    <row r="7">
      <c r="A7" s="33" t="s">
        <v>9</v>
      </c>
      <c r="B7" s="31"/>
      <c r="C7" s="32"/>
      <c r="D7" s="39">
        <f>D4-D5+D6</f>
        <v>16.4</v>
      </c>
      <c r="E7" s="90">
        <v>26145.0</v>
      </c>
      <c r="F7" s="41">
        <f>round(D7*E7,0)</f>
        <v>428778</v>
      </c>
    </row>
    <row r="8">
      <c r="A8" s="33" t="s">
        <v>26</v>
      </c>
      <c r="B8" s="31"/>
      <c r="C8" s="32"/>
      <c r="D8" s="39"/>
      <c r="E8" s="90"/>
      <c r="F8" s="41">
        <f>round(F7*10%,0)</f>
        <v>42878</v>
      </c>
    </row>
    <row r="9">
      <c r="A9" s="33" t="s">
        <v>16</v>
      </c>
      <c r="B9" s="31"/>
      <c r="C9" s="32"/>
      <c r="D9" s="39"/>
      <c r="E9" s="90"/>
      <c r="F9" s="41">
        <f>F7+F8</f>
        <v>471656</v>
      </c>
    </row>
    <row r="15">
      <c r="A15" s="52" t="s">
        <v>183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184</v>
      </c>
      <c r="C18" s="55">
        <v>46054.0</v>
      </c>
      <c r="D18" s="22">
        <v>54.0</v>
      </c>
      <c r="E18" s="56"/>
      <c r="F18" s="28"/>
    </row>
    <row r="19">
      <c r="A19" s="30" t="s">
        <v>113</v>
      </c>
      <c r="B19" s="31"/>
      <c r="C19" s="32"/>
      <c r="D19" s="24">
        <f>round(D18*10%,2)</f>
        <v>5.4</v>
      </c>
      <c r="E19" s="57"/>
      <c r="F19" s="28"/>
    </row>
    <row r="20">
      <c r="A20" s="30" t="s">
        <v>106</v>
      </c>
      <c r="B20" s="31"/>
      <c r="C20" s="32"/>
      <c r="D20" s="24">
        <f>round(D18*10%,2)</f>
        <v>5.4</v>
      </c>
      <c r="E20" s="57"/>
      <c r="F20" s="28"/>
    </row>
    <row r="21">
      <c r="A21" s="33" t="s">
        <v>9</v>
      </c>
      <c r="B21" s="31"/>
      <c r="C21" s="32"/>
      <c r="D21" s="39">
        <f>D18-D19+D20</f>
        <v>54</v>
      </c>
      <c r="E21" s="90">
        <v>26240.0</v>
      </c>
      <c r="F21" s="41">
        <f>round(D21*E21,0)</f>
        <v>1416960</v>
      </c>
    </row>
    <row r="22">
      <c r="A22" s="33" t="s">
        <v>26</v>
      </c>
      <c r="B22" s="31"/>
      <c r="C22" s="32"/>
      <c r="D22" s="39"/>
      <c r="E22" s="90"/>
      <c r="F22" s="41">
        <f>round(F21*10%,0)</f>
        <v>141696</v>
      </c>
    </row>
    <row r="23">
      <c r="A23" s="33" t="s">
        <v>16</v>
      </c>
      <c r="B23" s="31"/>
      <c r="C23" s="32"/>
      <c r="D23" s="39"/>
      <c r="E23" s="90"/>
      <c r="F23" s="41">
        <f>F21+F22</f>
        <v>1558656</v>
      </c>
    </row>
    <row r="29">
      <c r="A29" s="52" t="s">
        <v>183</v>
      </c>
    </row>
    <row r="30">
      <c r="A30" s="53"/>
      <c r="B30" s="53"/>
      <c r="C30" s="53"/>
      <c r="D30" s="53"/>
      <c r="E30" s="53"/>
      <c r="F30" s="53"/>
    </row>
    <row r="31">
      <c r="A31" s="9" t="s">
        <v>4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</row>
    <row r="32">
      <c r="A32" s="13">
        <v>1.0</v>
      </c>
      <c r="B32" s="54" t="s">
        <v>184</v>
      </c>
      <c r="C32" s="55">
        <v>46082.0</v>
      </c>
      <c r="D32" s="22">
        <v>4.47</v>
      </c>
      <c r="E32" s="56"/>
      <c r="F32" s="28"/>
    </row>
    <row r="33">
      <c r="A33" s="30" t="s">
        <v>113</v>
      </c>
      <c r="B33" s="31"/>
      <c r="C33" s="32"/>
      <c r="D33" s="24">
        <f>round(D32*10%,2)</f>
        <v>0.45</v>
      </c>
      <c r="E33" s="57"/>
      <c r="F33" s="28"/>
    </row>
    <row r="34">
      <c r="A34" s="30" t="s">
        <v>106</v>
      </c>
      <c r="B34" s="31"/>
      <c r="C34" s="32"/>
      <c r="D34" s="24">
        <f>round(D32*10%,2)</f>
        <v>0.45</v>
      </c>
      <c r="E34" s="57"/>
      <c r="F34" s="28"/>
    </row>
    <row r="35">
      <c r="A35" s="33" t="s">
        <v>9</v>
      </c>
      <c r="B35" s="31"/>
      <c r="C35" s="32"/>
      <c r="D35" s="39">
        <f>D32-D33+D34</f>
        <v>4.47</v>
      </c>
      <c r="E35" s="90">
        <v>26357.0</v>
      </c>
      <c r="F35" s="41">
        <f>round(D35*E35,0)</f>
        <v>117816</v>
      </c>
    </row>
    <row r="36">
      <c r="A36" s="33" t="s">
        <v>26</v>
      </c>
      <c r="B36" s="31"/>
      <c r="C36" s="32"/>
      <c r="D36" s="39"/>
      <c r="E36" s="90"/>
      <c r="F36" s="41">
        <f>round(F35*10%,0)</f>
        <v>11782</v>
      </c>
    </row>
    <row r="37">
      <c r="A37" s="33" t="s">
        <v>16</v>
      </c>
      <c r="B37" s="31"/>
      <c r="C37" s="32"/>
      <c r="D37" s="39"/>
      <c r="E37" s="90"/>
      <c r="F37" s="41">
        <f>F35+F36</f>
        <v>129598</v>
      </c>
    </row>
  </sheetData>
  <mergeCells count="18">
    <mergeCell ref="A1:F1"/>
    <mergeCell ref="A5:C5"/>
    <mergeCell ref="A6:C6"/>
    <mergeCell ref="A7:C7"/>
    <mergeCell ref="A8:C8"/>
    <mergeCell ref="A9:C9"/>
    <mergeCell ref="A15:F15"/>
    <mergeCell ref="A34:C34"/>
    <mergeCell ref="A35:C35"/>
    <mergeCell ref="A36:C36"/>
    <mergeCell ref="A37:C37"/>
    <mergeCell ref="A19:C19"/>
    <mergeCell ref="A20:C20"/>
    <mergeCell ref="A21:C21"/>
    <mergeCell ref="A22:C22"/>
    <mergeCell ref="A23:C23"/>
    <mergeCell ref="A29:F29"/>
    <mergeCell ref="A33:C33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49.63"/>
    <col customWidth="1" min="3" max="3" width="11.63"/>
    <col customWidth="1" min="4" max="4" width="21.0"/>
    <col customWidth="1" min="5" max="5" width="11.75"/>
    <col customWidth="1" min="6" max="6" width="18.63"/>
  </cols>
  <sheetData>
    <row r="1">
      <c r="A1" s="52" t="s">
        <v>185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186</v>
      </c>
      <c r="C4" s="55">
        <v>45931.0</v>
      </c>
      <c r="D4" s="22">
        <v>392.4</v>
      </c>
      <c r="E4" s="56"/>
      <c r="F4" s="28"/>
    </row>
    <row r="5">
      <c r="A5" s="30" t="s">
        <v>113</v>
      </c>
      <c r="B5" s="31"/>
      <c r="C5" s="32"/>
      <c r="D5" s="24">
        <f>round(D4*10%,2)</f>
        <v>39.24</v>
      </c>
      <c r="E5" s="57"/>
      <c r="F5" s="28"/>
    </row>
    <row r="6">
      <c r="A6" s="30" t="s">
        <v>106</v>
      </c>
      <c r="B6" s="31"/>
      <c r="C6" s="32"/>
      <c r="D6" s="24">
        <f>round(D4*10%,2)</f>
        <v>39.24</v>
      </c>
      <c r="E6" s="57"/>
      <c r="F6" s="28"/>
    </row>
    <row r="7">
      <c r="A7" s="33" t="s">
        <v>9</v>
      </c>
      <c r="B7" s="31"/>
      <c r="C7" s="32"/>
      <c r="D7" s="39">
        <f>D4-D5+D6</f>
        <v>392.4</v>
      </c>
      <c r="E7" s="90">
        <v>26347.0</v>
      </c>
      <c r="F7" s="41">
        <f>round(D7*E7,0)</f>
        <v>10338563</v>
      </c>
    </row>
    <row r="8">
      <c r="A8" s="33" t="s">
        <v>26</v>
      </c>
      <c r="B8" s="31"/>
      <c r="C8" s="32"/>
      <c r="D8" s="39"/>
      <c r="E8" s="90"/>
      <c r="F8" s="41">
        <f>round(F7*10%,0)</f>
        <v>1033856</v>
      </c>
    </row>
    <row r="9">
      <c r="A9" s="33" t="s">
        <v>16</v>
      </c>
      <c r="B9" s="31"/>
      <c r="C9" s="32"/>
      <c r="D9" s="39"/>
      <c r="E9" s="90"/>
      <c r="F9" s="41">
        <f>F7+F8</f>
        <v>11372419</v>
      </c>
    </row>
    <row r="15">
      <c r="A15" s="52" t="s">
        <v>185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186</v>
      </c>
      <c r="C18" s="55">
        <v>46023.0</v>
      </c>
      <c r="D18" s="22">
        <v>317.3</v>
      </c>
      <c r="E18" s="56"/>
      <c r="F18" s="28"/>
    </row>
    <row r="19">
      <c r="A19" s="30" t="s">
        <v>113</v>
      </c>
      <c r="B19" s="31"/>
      <c r="C19" s="32"/>
      <c r="D19" s="24">
        <f>round(D18*10%,2)</f>
        <v>31.73</v>
      </c>
      <c r="E19" s="57"/>
      <c r="F19" s="28"/>
    </row>
    <row r="20">
      <c r="A20" s="30" t="s">
        <v>106</v>
      </c>
      <c r="B20" s="31"/>
      <c r="C20" s="32"/>
      <c r="D20" s="24">
        <f>round(D18*10%,2)</f>
        <v>31.73</v>
      </c>
      <c r="E20" s="57"/>
      <c r="F20" s="28"/>
    </row>
    <row r="21">
      <c r="A21" s="33" t="s">
        <v>9</v>
      </c>
      <c r="B21" s="31"/>
      <c r="C21" s="32"/>
      <c r="D21" s="39">
        <f>D18-D19+D20</f>
        <v>317.3</v>
      </c>
      <c r="E21" s="90">
        <v>26145.0</v>
      </c>
      <c r="F21" s="41">
        <f>round(D21*E21,0)</f>
        <v>8295809</v>
      </c>
    </row>
    <row r="22">
      <c r="A22" s="33" t="s">
        <v>26</v>
      </c>
      <c r="B22" s="31"/>
      <c r="C22" s="32"/>
      <c r="D22" s="39"/>
      <c r="E22" s="90"/>
      <c r="F22" s="41">
        <f>round(F21*10%,0)</f>
        <v>829581</v>
      </c>
    </row>
    <row r="23">
      <c r="A23" s="33" t="s">
        <v>16</v>
      </c>
      <c r="B23" s="31"/>
      <c r="C23" s="32"/>
      <c r="D23" s="39"/>
      <c r="E23" s="90"/>
      <c r="F23" s="41">
        <f>F21+F22</f>
        <v>9125390</v>
      </c>
    </row>
    <row r="28">
      <c r="A28" s="52" t="s">
        <v>185</v>
      </c>
    </row>
    <row r="29">
      <c r="A29" s="53"/>
      <c r="B29" s="53"/>
      <c r="C29" s="53"/>
      <c r="D29" s="53"/>
      <c r="E29" s="53"/>
      <c r="F29" s="53"/>
    </row>
    <row r="30">
      <c r="A30" s="9" t="s">
        <v>4</v>
      </c>
      <c r="B30" s="9" t="s">
        <v>5</v>
      </c>
      <c r="C30" s="9" t="s">
        <v>6</v>
      </c>
      <c r="D30" s="9" t="s">
        <v>7</v>
      </c>
      <c r="E30" s="9" t="s">
        <v>8</v>
      </c>
      <c r="F30" s="9" t="s">
        <v>9</v>
      </c>
    </row>
    <row r="31">
      <c r="A31" s="13">
        <v>1.0</v>
      </c>
      <c r="B31" s="54" t="s">
        <v>186</v>
      </c>
      <c r="C31" s="55">
        <v>46054.0</v>
      </c>
      <c r="D31" s="22">
        <v>135.5</v>
      </c>
      <c r="E31" s="56"/>
      <c r="F31" s="28"/>
    </row>
    <row r="32">
      <c r="A32" s="30" t="s">
        <v>113</v>
      </c>
      <c r="B32" s="31"/>
      <c r="C32" s="32"/>
      <c r="D32" s="24">
        <f>round(D31*10%,2)</f>
        <v>13.55</v>
      </c>
      <c r="E32" s="57"/>
      <c r="F32" s="28"/>
    </row>
    <row r="33">
      <c r="A33" s="30" t="s">
        <v>106</v>
      </c>
      <c r="B33" s="31"/>
      <c r="C33" s="32"/>
      <c r="D33" s="24">
        <f>round(D31*10%,2)</f>
        <v>13.55</v>
      </c>
      <c r="E33" s="57"/>
      <c r="F33" s="28"/>
    </row>
    <row r="34">
      <c r="A34" s="33" t="s">
        <v>9</v>
      </c>
      <c r="B34" s="31"/>
      <c r="C34" s="32"/>
      <c r="D34" s="39">
        <f>D31-D32+D33</f>
        <v>135.5</v>
      </c>
      <c r="E34" s="90">
        <v>26240.0</v>
      </c>
      <c r="F34" s="41">
        <f>round(D34*E34,0)</f>
        <v>3555520</v>
      </c>
    </row>
    <row r="35">
      <c r="A35" s="33" t="s">
        <v>26</v>
      </c>
      <c r="B35" s="31"/>
      <c r="C35" s="32"/>
      <c r="D35" s="39"/>
      <c r="E35" s="90"/>
      <c r="F35" s="41">
        <f>round(F34*10%,0)</f>
        <v>355552</v>
      </c>
    </row>
    <row r="36">
      <c r="A36" s="33" t="s">
        <v>16</v>
      </c>
      <c r="B36" s="31"/>
      <c r="C36" s="32"/>
      <c r="D36" s="39"/>
      <c r="E36" s="90"/>
      <c r="F36" s="41">
        <f>F34+F35</f>
        <v>3911072</v>
      </c>
    </row>
    <row r="42">
      <c r="A42" s="52" t="s">
        <v>185</v>
      </c>
    </row>
    <row r="43">
      <c r="A43" s="53"/>
      <c r="B43" s="53"/>
      <c r="C43" s="53"/>
      <c r="D43" s="53"/>
      <c r="E43" s="53"/>
      <c r="F43" s="53"/>
    </row>
    <row r="44">
      <c r="A44" s="9" t="s">
        <v>4</v>
      </c>
      <c r="B44" s="9" t="s">
        <v>5</v>
      </c>
      <c r="C44" s="9" t="s">
        <v>6</v>
      </c>
      <c r="D44" s="9" t="s">
        <v>7</v>
      </c>
      <c r="E44" s="9" t="s">
        <v>8</v>
      </c>
      <c r="F44" s="9" t="s">
        <v>9</v>
      </c>
    </row>
    <row r="45">
      <c r="A45" s="13">
        <v>1.0</v>
      </c>
      <c r="B45" s="54" t="s">
        <v>186</v>
      </c>
      <c r="C45" s="55">
        <v>46082.0</v>
      </c>
      <c r="D45" s="22">
        <v>15.48</v>
      </c>
      <c r="E45" s="56"/>
      <c r="F45" s="28"/>
    </row>
    <row r="46">
      <c r="A46" s="30" t="s">
        <v>113</v>
      </c>
      <c r="B46" s="31"/>
      <c r="C46" s="32"/>
      <c r="D46" s="24">
        <f>round(D45*10%,2)</f>
        <v>1.55</v>
      </c>
      <c r="E46" s="57"/>
      <c r="F46" s="28"/>
    </row>
    <row r="47">
      <c r="A47" s="30" t="s">
        <v>106</v>
      </c>
      <c r="B47" s="31"/>
      <c r="C47" s="32"/>
      <c r="D47" s="24">
        <f>round(D45*10%,2)</f>
        <v>1.55</v>
      </c>
      <c r="E47" s="57"/>
      <c r="F47" s="28"/>
    </row>
    <row r="48">
      <c r="A48" s="33" t="s">
        <v>9</v>
      </c>
      <c r="B48" s="31"/>
      <c r="C48" s="32"/>
      <c r="D48" s="39">
        <f>D45-D46+D47</f>
        <v>15.48</v>
      </c>
      <c r="E48" s="90">
        <v>26357.0</v>
      </c>
      <c r="F48" s="41">
        <f>round(D48*E48,0)</f>
        <v>408006</v>
      </c>
    </row>
    <row r="49">
      <c r="A49" s="33" t="s">
        <v>26</v>
      </c>
      <c r="B49" s="31"/>
      <c r="C49" s="32"/>
      <c r="D49" s="39"/>
      <c r="E49" s="90"/>
      <c r="F49" s="41">
        <f>round(F48*10%,0)</f>
        <v>40801</v>
      </c>
    </row>
    <row r="50">
      <c r="A50" s="33" t="s">
        <v>16</v>
      </c>
      <c r="B50" s="31"/>
      <c r="C50" s="32"/>
      <c r="D50" s="39"/>
      <c r="E50" s="90"/>
      <c r="F50" s="41">
        <f>F48+F49</f>
        <v>448807</v>
      </c>
    </row>
  </sheetData>
  <mergeCells count="24">
    <mergeCell ref="A1:F1"/>
    <mergeCell ref="A5:C5"/>
    <mergeCell ref="A6:C6"/>
    <mergeCell ref="A7:C7"/>
    <mergeCell ref="A8:C8"/>
    <mergeCell ref="A9:C9"/>
    <mergeCell ref="A15:F15"/>
    <mergeCell ref="A19:C19"/>
    <mergeCell ref="A20:C20"/>
    <mergeCell ref="A21:C21"/>
    <mergeCell ref="A22:C22"/>
    <mergeCell ref="A23:C23"/>
    <mergeCell ref="A28:F28"/>
    <mergeCell ref="A32:C32"/>
    <mergeCell ref="A48:C48"/>
    <mergeCell ref="A49:C49"/>
    <mergeCell ref="A50:C50"/>
    <mergeCell ref="A33:C33"/>
    <mergeCell ref="A34:C34"/>
    <mergeCell ref="A35:C35"/>
    <mergeCell ref="A36:C36"/>
    <mergeCell ref="A42:F42"/>
    <mergeCell ref="A46:C46"/>
    <mergeCell ref="A47:C47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46.75"/>
    <col customWidth="1" min="3" max="3" width="11.38"/>
    <col customWidth="1" min="4" max="4" width="20.25"/>
    <col customWidth="1" min="5" max="5" width="11.13"/>
    <col customWidth="1" min="6" max="6" width="20.25"/>
  </cols>
  <sheetData>
    <row r="1">
      <c r="A1" s="52" t="s">
        <v>187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53"/>
      <c r="B2" s="53"/>
      <c r="C2" s="53"/>
      <c r="D2" s="53"/>
      <c r="E2" s="53"/>
      <c r="F2" s="53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13">
        <v>1.0</v>
      </c>
      <c r="B4" s="54" t="s">
        <v>188</v>
      </c>
      <c r="C4" s="55">
        <v>45505.0</v>
      </c>
      <c r="D4" s="22">
        <v>48.69</v>
      </c>
      <c r="E4" s="56"/>
      <c r="F4" s="28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30" t="s">
        <v>21</v>
      </c>
      <c r="B5" s="31"/>
      <c r="C5" s="32"/>
      <c r="D5" s="24">
        <f>round(D4*(1+5.26%),2)</f>
        <v>51.25</v>
      </c>
      <c r="E5" s="57"/>
      <c r="F5" s="28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30" t="s">
        <v>24</v>
      </c>
      <c r="B6" s="31"/>
      <c r="C6" s="32"/>
      <c r="D6" s="24">
        <f>round(D5*10%,2)</f>
        <v>5.13</v>
      </c>
      <c r="E6" s="57"/>
      <c r="F6" s="28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33" t="s">
        <v>9</v>
      </c>
      <c r="B7" s="31"/>
      <c r="C7" s="32"/>
      <c r="D7" s="39">
        <f>D5-D6</f>
        <v>46.12</v>
      </c>
      <c r="E7" s="90">
        <v>25080.0</v>
      </c>
      <c r="F7" s="41">
        <f>D7*E7</f>
        <v>1156689.6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33" t="s">
        <v>26</v>
      </c>
      <c r="B8" s="31"/>
      <c r="C8" s="32"/>
      <c r="D8" s="39"/>
      <c r="E8" s="90"/>
      <c r="F8" s="41">
        <f>round(F7*10%,0)</f>
        <v>115669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33" t="s">
        <v>16</v>
      </c>
      <c r="B9" s="31"/>
      <c r="C9" s="32"/>
      <c r="D9" s="39"/>
      <c r="E9" s="90"/>
      <c r="F9" s="41">
        <f>F7+F8</f>
        <v>1272358.6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52" t="s">
        <v>187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53"/>
      <c r="B14" s="53"/>
      <c r="C14" s="53"/>
      <c r="D14" s="53"/>
      <c r="E14" s="53"/>
      <c r="F14" s="53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13">
        <v>1.0</v>
      </c>
      <c r="B16" s="54" t="s">
        <v>188</v>
      </c>
      <c r="C16" s="55">
        <v>45536.0</v>
      </c>
      <c r="D16" s="22">
        <v>213.78</v>
      </c>
      <c r="E16" s="56"/>
      <c r="F16" s="28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30" t="s">
        <v>21</v>
      </c>
      <c r="B17" s="31"/>
      <c r="C17" s="32"/>
      <c r="D17" s="24">
        <f>round(D16*(1+5.26%),2)</f>
        <v>225.02</v>
      </c>
      <c r="E17" s="57"/>
      <c r="F17" s="28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30" t="s">
        <v>24</v>
      </c>
      <c r="B18" s="31"/>
      <c r="C18" s="32"/>
      <c r="D18" s="24">
        <f>round(D17*10%,2)</f>
        <v>22.5</v>
      </c>
      <c r="E18" s="57"/>
      <c r="F18" s="28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33" t="s">
        <v>9</v>
      </c>
      <c r="B19" s="31"/>
      <c r="C19" s="32"/>
      <c r="D19" s="39">
        <f>D17-D18</f>
        <v>202.52</v>
      </c>
      <c r="E19" s="90">
        <v>24733.0</v>
      </c>
      <c r="F19" s="41">
        <f>D19*E19</f>
        <v>5008927.16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33" t="s">
        <v>26</v>
      </c>
      <c r="B20" s="31"/>
      <c r="C20" s="32"/>
      <c r="D20" s="39"/>
      <c r="E20" s="90"/>
      <c r="F20" s="41">
        <f>round(F19*10%,0)</f>
        <v>500893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33" t="s">
        <v>16</v>
      </c>
      <c r="B21" s="31"/>
      <c r="C21" s="32"/>
      <c r="D21" s="39"/>
      <c r="E21" s="90"/>
      <c r="F21" s="41">
        <f>F19+F20</f>
        <v>5509820.16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52" t="s">
        <v>187</v>
      </c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53"/>
      <c r="B27" s="53"/>
      <c r="C27" s="53"/>
      <c r="D27" s="53"/>
      <c r="E27" s="53"/>
      <c r="F27" s="53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9" t="s">
        <v>4</v>
      </c>
      <c r="B28" s="9" t="s">
        <v>5</v>
      </c>
      <c r="C28" s="9" t="s">
        <v>6</v>
      </c>
      <c r="D28" s="9" t="s">
        <v>7</v>
      </c>
      <c r="E28" s="9" t="s">
        <v>8</v>
      </c>
      <c r="F28" s="9" t="s">
        <v>9</v>
      </c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13">
        <v>1.0</v>
      </c>
      <c r="B29" s="54" t="s">
        <v>188</v>
      </c>
      <c r="C29" s="55">
        <v>45566.0</v>
      </c>
      <c r="D29" s="22">
        <v>256.46</v>
      </c>
      <c r="E29" s="56"/>
      <c r="F29" s="28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30" t="s">
        <v>21</v>
      </c>
      <c r="B30" s="31"/>
      <c r="C30" s="32"/>
      <c r="D30" s="24">
        <f>round(D29*(1+5.26%),2)</f>
        <v>269.95</v>
      </c>
      <c r="E30" s="57"/>
      <c r="F30" s="2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30" t="s">
        <v>24</v>
      </c>
      <c r="B31" s="31"/>
      <c r="C31" s="32"/>
      <c r="D31" s="24">
        <f>round(D30*10%,2)</f>
        <v>27</v>
      </c>
      <c r="E31" s="57"/>
      <c r="F31" s="28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33" t="s">
        <v>9</v>
      </c>
      <c r="B32" s="31"/>
      <c r="C32" s="32"/>
      <c r="D32" s="39">
        <f>D30-D31</f>
        <v>242.95</v>
      </c>
      <c r="E32" s="90">
        <v>25445.0</v>
      </c>
      <c r="F32" s="41">
        <f>D32*E32</f>
        <v>6181862.75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33" t="s">
        <v>26</v>
      </c>
      <c r="B33" s="31"/>
      <c r="C33" s="32"/>
      <c r="D33" s="39"/>
      <c r="E33" s="90"/>
      <c r="F33" s="41">
        <f>round(F32*10%,0)</f>
        <v>618186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33" t="s">
        <v>16</v>
      </c>
      <c r="B34" s="31"/>
      <c r="C34" s="32"/>
      <c r="D34" s="39"/>
      <c r="E34" s="90"/>
      <c r="F34" s="41">
        <f>F32+F33</f>
        <v>6800048.75</v>
      </c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52" t="s">
        <v>187</v>
      </c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53"/>
      <c r="B39" s="53"/>
      <c r="C39" s="53"/>
      <c r="D39" s="53"/>
      <c r="E39" s="53"/>
      <c r="F39" s="53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9" t="s">
        <v>4</v>
      </c>
      <c r="B40" s="9" t="s">
        <v>5</v>
      </c>
      <c r="C40" s="9" t="s">
        <v>6</v>
      </c>
      <c r="D40" s="9" t="s">
        <v>7</v>
      </c>
      <c r="E40" s="9" t="s">
        <v>8</v>
      </c>
      <c r="F40" s="9" t="s">
        <v>9</v>
      </c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13">
        <v>1.0</v>
      </c>
      <c r="B41" s="54" t="s">
        <v>188</v>
      </c>
      <c r="C41" s="55">
        <v>45597.0</v>
      </c>
      <c r="D41" s="22">
        <v>149.15</v>
      </c>
      <c r="E41" s="56"/>
      <c r="F41" s="28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30" t="s">
        <v>21</v>
      </c>
      <c r="B42" s="31"/>
      <c r="C42" s="32"/>
      <c r="D42" s="24">
        <f>round(D41*(1+5.26%),2)</f>
        <v>157</v>
      </c>
      <c r="E42" s="57"/>
      <c r="F42" s="28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30" t="s">
        <v>24</v>
      </c>
      <c r="B43" s="31"/>
      <c r="C43" s="32"/>
      <c r="D43" s="24">
        <f>round(D42*10%,2)</f>
        <v>15.7</v>
      </c>
      <c r="E43" s="57"/>
      <c r="F43" s="28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33" t="s">
        <v>9</v>
      </c>
      <c r="B44" s="31"/>
      <c r="C44" s="32"/>
      <c r="D44" s="39">
        <f>D42-D43</f>
        <v>141.3</v>
      </c>
      <c r="E44" s="90">
        <v>25463.0</v>
      </c>
      <c r="F44" s="41">
        <f>D44*E44</f>
        <v>3597921.9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33" t="s">
        <v>26</v>
      </c>
      <c r="B45" s="31"/>
      <c r="C45" s="32"/>
      <c r="D45" s="39"/>
      <c r="E45" s="90"/>
      <c r="F45" s="41">
        <f>round(F44*10%,0)</f>
        <v>359792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33" t="s">
        <v>16</v>
      </c>
      <c r="B46" s="31"/>
      <c r="C46" s="32"/>
      <c r="D46" s="39"/>
      <c r="E46" s="90"/>
      <c r="F46" s="41">
        <f>F44+F45</f>
        <v>3957713.9</v>
      </c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52" t="s">
        <v>195</v>
      </c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53"/>
      <c r="B51" s="53"/>
      <c r="C51" s="53"/>
      <c r="D51" s="53"/>
      <c r="E51" s="53"/>
      <c r="F51" s="53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9" t="s">
        <v>4</v>
      </c>
      <c r="B52" s="9" t="s">
        <v>5</v>
      </c>
      <c r="C52" s="9" t="s">
        <v>6</v>
      </c>
      <c r="D52" s="9" t="s">
        <v>7</v>
      </c>
      <c r="E52" s="9" t="s">
        <v>8</v>
      </c>
      <c r="F52" s="9" t="s">
        <v>9</v>
      </c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13">
        <v>1.0</v>
      </c>
      <c r="B53" s="54" t="s">
        <v>188</v>
      </c>
      <c r="C53" s="55">
        <v>45627.0</v>
      </c>
      <c r="D53" s="22">
        <v>13.43</v>
      </c>
      <c r="E53" s="56"/>
      <c r="F53" s="28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30" t="s">
        <v>21</v>
      </c>
      <c r="B54" s="31"/>
      <c r="C54" s="32"/>
      <c r="D54" s="24">
        <f>round(D53*(1+5.26%),2)</f>
        <v>14.14</v>
      </c>
      <c r="E54" s="57"/>
      <c r="F54" s="28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30" t="s">
        <v>24</v>
      </c>
      <c r="B55" s="31"/>
      <c r="C55" s="32"/>
      <c r="D55" s="24">
        <f>round(D54*10%,2)</f>
        <v>1.41</v>
      </c>
      <c r="E55" s="57"/>
      <c r="F55" s="28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33" t="s">
        <v>9</v>
      </c>
      <c r="B56" s="31"/>
      <c r="C56" s="32"/>
      <c r="D56" s="39">
        <f>D54-D55</f>
        <v>12.73</v>
      </c>
      <c r="E56" s="90">
        <v>25551.0</v>
      </c>
      <c r="F56" s="41">
        <f>D56*E56</f>
        <v>325264.23</v>
      </c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33" t="s">
        <v>26</v>
      </c>
      <c r="B57" s="31"/>
      <c r="C57" s="32"/>
      <c r="D57" s="39"/>
      <c r="E57" s="90"/>
      <c r="F57" s="41">
        <f>round(F56*10%,0)</f>
        <v>32526</v>
      </c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33" t="s">
        <v>16</v>
      </c>
      <c r="B58" s="31"/>
      <c r="C58" s="32"/>
      <c r="D58" s="39"/>
      <c r="E58" s="90"/>
      <c r="F58" s="41">
        <f>F56+F57</f>
        <v>357790.23</v>
      </c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52" t="s">
        <v>195</v>
      </c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53"/>
      <c r="B63" s="53"/>
      <c r="C63" s="53"/>
      <c r="D63" s="53"/>
      <c r="E63" s="53"/>
      <c r="F63" s="53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9" t="s">
        <v>4</v>
      </c>
      <c r="B64" s="9" t="s">
        <v>5</v>
      </c>
      <c r="C64" s="9" t="s">
        <v>6</v>
      </c>
      <c r="D64" s="9" t="s">
        <v>7</v>
      </c>
      <c r="E64" s="9" t="s">
        <v>8</v>
      </c>
      <c r="F64" s="9" t="s">
        <v>9</v>
      </c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13">
        <v>1.0</v>
      </c>
      <c r="B65" s="54" t="s">
        <v>188</v>
      </c>
      <c r="C65" s="55">
        <v>45658.0</v>
      </c>
      <c r="D65" s="22">
        <v>12.09</v>
      </c>
      <c r="E65" s="56"/>
      <c r="F65" s="28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30" t="s">
        <v>21</v>
      </c>
      <c r="B66" s="31"/>
      <c r="C66" s="32"/>
      <c r="D66" s="24">
        <f>round(D65*(1+5.26%),2)</f>
        <v>12.73</v>
      </c>
      <c r="E66" s="57"/>
      <c r="F66" s="28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30" t="s">
        <v>24</v>
      </c>
      <c r="B67" s="31"/>
      <c r="C67" s="32"/>
      <c r="D67" s="24">
        <f>round(D66*10%,2)</f>
        <v>1.27</v>
      </c>
      <c r="E67" s="57"/>
      <c r="F67" s="28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33" t="s">
        <v>9</v>
      </c>
      <c r="B68" s="31"/>
      <c r="C68" s="32"/>
      <c r="D68" s="39">
        <f>D66-D67</f>
        <v>11.46</v>
      </c>
      <c r="E68" s="90">
        <v>25295.0</v>
      </c>
      <c r="F68" s="41">
        <f>D68*E68</f>
        <v>289880.7</v>
      </c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33" t="s">
        <v>26</v>
      </c>
      <c r="B69" s="31"/>
      <c r="C69" s="32"/>
      <c r="D69" s="39"/>
      <c r="E69" s="90"/>
      <c r="F69" s="41">
        <f>round(F68*10%,0)</f>
        <v>28988</v>
      </c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33" t="s">
        <v>16</v>
      </c>
      <c r="B70" s="31"/>
      <c r="C70" s="32"/>
      <c r="D70" s="39"/>
      <c r="E70" s="90"/>
      <c r="F70" s="41">
        <f>F68+F69</f>
        <v>318868.7</v>
      </c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52" t="s">
        <v>195</v>
      </c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53"/>
      <c r="B75" s="53"/>
      <c r="C75" s="53"/>
      <c r="D75" s="53"/>
      <c r="E75" s="53"/>
      <c r="F75" s="53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9" t="s">
        <v>4</v>
      </c>
      <c r="B76" s="9" t="s">
        <v>5</v>
      </c>
      <c r="C76" s="9" t="s">
        <v>6</v>
      </c>
      <c r="D76" s="9" t="s">
        <v>7</v>
      </c>
      <c r="E76" s="9" t="s">
        <v>8</v>
      </c>
      <c r="F76" s="9" t="s">
        <v>9</v>
      </c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13">
        <v>1.0</v>
      </c>
      <c r="B77" s="54" t="s">
        <v>188</v>
      </c>
      <c r="C77" s="55">
        <v>45689.0</v>
      </c>
      <c r="D77" s="22">
        <v>12.09</v>
      </c>
      <c r="E77" s="56"/>
      <c r="F77" s="28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30" t="s">
        <v>21</v>
      </c>
      <c r="B78" s="31"/>
      <c r="C78" s="32"/>
      <c r="D78" s="24">
        <f>round(D77*(1+5.26%),2)</f>
        <v>12.73</v>
      </c>
      <c r="E78" s="57"/>
      <c r="F78" s="28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30" t="s">
        <v>24</v>
      </c>
      <c r="B79" s="31"/>
      <c r="C79" s="32"/>
      <c r="D79" s="24">
        <f>round(D78*10%,2)</f>
        <v>1.27</v>
      </c>
      <c r="E79" s="57"/>
      <c r="F79" s="28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33" t="s">
        <v>9</v>
      </c>
      <c r="B80" s="31"/>
      <c r="C80" s="32"/>
      <c r="D80" s="39">
        <f>D78-D79</f>
        <v>11.46</v>
      </c>
      <c r="E80" s="90">
        <v>25735.0</v>
      </c>
      <c r="F80" s="41">
        <f>D80*E80</f>
        <v>294923.1</v>
      </c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33" t="s">
        <v>26</v>
      </c>
      <c r="B81" s="31"/>
      <c r="C81" s="32"/>
      <c r="D81" s="39"/>
      <c r="E81" s="90"/>
      <c r="F81" s="41">
        <f>round(F80*10%,0)</f>
        <v>29492</v>
      </c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33" t="s">
        <v>16</v>
      </c>
      <c r="B82" s="31"/>
      <c r="C82" s="32"/>
      <c r="D82" s="39"/>
      <c r="E82" s="90"/>
      <c r="F82" s="41">
        <f>F80+F81</f>
        <v>324415.1</v>
      </c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52" t="s">
        <v>195</v>
      </c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53"/>
      <c r="B87" s="53"/>
      <c r="C87" s="53"/>
      <c r="D87" s="53"/>
      <c r="E87" s="53"/>
      <c r="F87" s="53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9" t="s">
        <v>4</v>
      </c>
      <c r="B88" s="9" t="s">
        <v>5</v>
      </c>
      <c r="C88" s="9" t="s">
        <v>6</v>
      </c>
      <c r="D88" s="9" t="s">
        <v>7</v>
      </c>
      <c r="E88" s="9" t="s">
        <v>8</v>
      </c>
      <c r="F88" s="9" t="s">
        <v>9</v>
      </c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13">
        <v>1.0</v>
      </c>
      <c r="B89" s="54" t="s">
        <v>188</v>
      </c>
      <c r="C89" s="55">
        <v>45717.0</v>
      </c>
      <c r="D89" s="22">
        <v>12.09</v>
      </c>
      <c r="E89" s="56"/>
      <c r="F89" s="28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30" t="s">
        <v>21</v>
      </c>
      <c r="B90" s="31"/>
      <c r="C90" s="32"/>
      <c r="D90" s="24">
        <f>round(D89*(1+5.26%),2)</f>
        <v>12.73</v>
      </c>
      <c r="E90" s="57"/>
      <c r="F90" s="28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30" t="s">
        <v>24</v>
      </c>
      <c r="B91" s="31"/>
      <c r="C91" s="32"/>
      <c r="D91" s="24">
        <f>round(D90*10%,2)</f>
        <v>1.27</v>
      </c>
      <c r="E91" s="57"/>
      <c r="F91" s="28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33" t="s">
        <v>9</v>
      </c>
      <c r="B92" s="31"/>
      <c r="C92" s="32"/>
      <c r="D92" s="39">
        <f>D90-D91</f>
        <v>11.46</v>
      </c>
      <c r="E92" s="90">
        <v>25775.0</v>
      </c>
      <c r="F92" s="41">
        <f>D92*E92</f>
        <v>295381.5</v>
      </c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33" t="s">
        <v>26</v>
      </c>
      <c r="B93" s="31"/>
      <c r="C93" s="32"/>
      <c r="D93" s="39"/>
      <c r="E93" s="90"/>
      <c r="F93" s="41">
        <f>round(F92*10%,0)</f>
        <v>29538</v>
      </c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33" t="s">
        <v>16</v>
      </c>
      <c r="B94" s="31"/>
      <c r="C94" s="32"/>
      <c r="D94" s="39"/>
      <c r="E94" s="90"/>
      <c r="F94" s="41">
        <f>F92+F93</f>
        <v>324919.5</v>
      </c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52" t="s">
        <v>195</v>
      </c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53"/>
      <c r="B99" s="53"/>
      <c r="C99" s="53"/>
      <c r="D99" s="53"/>
      <c r="E99" s="53"/>
      <c r="F99" s="53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9" t="s">
        <v>4</v>
      </c>
      <c r="B100" s="9" t="s">
        <v>5</v>
      </c>
      <c r="C100" s="9" t="s">
        <v>6</v>
      </c>
      <c r="D100" s="9" t="s">
        <v>7</v>
      </c>
      <c r="E100" s="9" t="s">
        <v>8</v>
      </c>
      <c r="F100" s="9" t="s">
        <v>9</v>
      </c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13">
        <v>1.0</v>
      </c>
      <c r="B101" s="54" t="s">
        <v>188</v>
      </c>
      <c r="C101" s="55">
        <v>45748.0</v>
      </c>
      <c r="D101" s="22">
        <v>12.09</v>
      </c>
      <c r="E101" s="56"/>
      <c r="F101" s="28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30" t="s">
        <v>21</v>
      </c>
      <c r="B102" s="31"/>
      <c r="C102" s="32"/>
      <c r="D102" s="24">
        <f>round(D101*(1+5.26%),2)</f>
        <v>12.73</v>
      </c>
      <c r="E102" s="57"/>
      <c r="F102" s="28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30" t="s">
        <v>24</v>
      </c>
      <c r="B103" s="31"/>
      <c r="C103" s="32"/>
      <c r="D103" s="24">
        <f>round(D102*10%,2)</f>
        <v>1.27</v>
      </c>
      <c r="E103" s="57"/>
      <c r="F103" s="28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33" t="s">
        <v>9</v>
      </c>
      <c r="B104" s="31"/>
      <c r="C104" s="32"/>
      <c r="D104" s="39">
        <f>D102-D103</f>
        <v>11.46</v>
      </c>
      <c r="E104" s="90">
        <v>26190.0</v>
      </c>
      <c r="F104" s="41">
        <f>D104*E104</f>
        <v>300137.4</v>
      </c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33" t="s">
        <v>26</v>
      </c>
      <c r="B105" s="31"/>
      <c r="C105" s="32"/>
      <c r="D105" s="39"/>
      <c r="E105" s="90"/>
      <c r="F105" s="41">
        <f>round(F104*10%,0)</f>
        <v>30014</v>
      </c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33" t="s">
        <v>16</v>
      </c>
      <c r="B106" s="31"/>
      <c r="C106" s="32"/>
      <c r="D106" s="39"/>
      <c r="E106" s="90"/>
      <c r="F106" s="41">
        <f>F104+F105</f>
        <v>330151.4</v>
      </c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52" t="s">
        <v>195</v>
      </c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53"/>
      <c r="B111" s="53"/>
      <c r="C111" s="53"/>
      <c r="D111" s="53"/>
      <c r="E111" s="53"/>
      <c r="F111" s="53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9" t="s">
        <v>4</v>
      </c>
      <c r="B112" s="9" t="s">
        <v>5</v>
      </c>
      <c r="C112" s="9" t="s">
        <v>6</v>
      </c>
      <c r="D112" s="9" t="s">
        <v>7</v>
      </c>
      <c r="E112" s="9" t="s">
        <v>8</v>
      </c>
      <c r="F112" s="9" t="s">
        <v>9</v>
      </c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13">
        <v>1.0</v>
      </c>
      <c r="B113" s="54" t="s">
        <v>188</v>
      </c>
      <c r="C113" s="55">
        <v>45778.0</v>
      </c>
      <c r="D113" s="22">
        <v>25.0</v>
      </c>
      <c r="E113" s="56"/>
      <c r="F113" s="28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30" t="s">
        <v>21</v>
      </c>
      <c r="B114" s="31"/>
      <c r="C114" s="32"/>
      <c r="D114" s="24">
        <f>round(D113*(1+5.26%),2)</f>
        <v>26.32</v>
      </c>
      <c r="E114" s="57"/>
      <c r="F114" s="28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30" t="s">
        <v>24</v>
      </c>
      <c r="B115" s="31"/>
      <c r="C115" s="32"/>
      <c r="D115" s="24">
        <f>round(D114*10%,2)</f>
        <v>2.63</v>
      </c>
      <c r="E115" s="57"/>
      <c r="F115" s="28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33" t="s">
        <v>9</v>
      </c>
      <c r="B116" s="31"/>
      <c r="C116" s="32"/>
      <c r="D116" s="39">
        <f>D114-D115</f>
        <v>23.69</v>
      </c>
      <c r="E116" s="90">
        <v>26225.0</v>
      </c>
      <c r="F116" s="41">
        <f>D116*E116</f>
        <v>621270.25</v>
      </c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33" t="s">
        <v>26</v>
      </c>
      <c r="B117" s="31"/>
      <c r="C117" s="32"/>
      <c r="D117" s="39"/>
      <c r="E117" s="90"/>
      <c r="F117" s="41">
        <f>round(F116*10%,0)</f>
        <v>62127</v>
      </c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33" t="s">
        <v>16</v>
      </c>
      <c r="B118" s="31"/>
      <c r="C118" s="32"/>
      <c r="D118" s="39"/>
      <c r="E118" s="90"/>
      <c r="F118" s="41">
        <f>F116+F117</f>
        <v>683397.25</v>
      </c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52" t="s">
        <v>195</v>
      </c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53"/>
      <c r="B123" s="53"/>
      <c r="C123" s="53"/>
      <c r="D123" s="53"/>
      <c r="E123" s="53"/>
      <c r="F123" s="53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9" t="s">
        <v>4</v>
      </c>
      <c r="B124" s="9" t="s">
        <v>5</v>
      </c>
      <c r="C124" s="9" t="s">
        <v>6</v>
      </c>
      <c r="D124" s="9" t="s">
        <v>7</v>
      </c>
      <c r="E124" s="9" t="s">
        <v>8</v>
      </c>
      <c r="F124" s="9" t="s">
        <v>9</v>
      </c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13">
        <v>1.0</v>
      </c>
      <c r="B125" s="54" t="s">
        <v>188</v>
      </c>
      <c r="C125" s="55">
        <v>45809.0</v>
      </c>
      <c r="D125" s="22">
        <v>32.34</v>
      </c>
      <c r="E125" s="56"/>
      <c r="F125" s="28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30" t="s">
        <v>21</v>
      </c>
      <c r="B126" s="31"/>
      <c r="C126" s="32"/>
      <c r="D126" s="24">
        <f>round(D125*(1+5.26%),2)</f>
        <v>34.04</v>
      </c>
      <c r="E126" s="57"/>
      <c r="F126" s="28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30" t="s">
        <v>24</v>
      </c>
      <c r="B127" s="31"/>
      <c r="C127" s="32"/>
      <c r="D127" s="24">
        <f>round(D126*10%,2)</f>
        <v>3.4</v>
      </c>
      <c r="E127" s="57"/>
      <c r="F127" s="28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33" t="s">
        <v>9</v>
      </c>
      <c r="B128" s="31"/>
      <c r="C128" s="32"/>
      <c r="D128" s="39">
        <f>D126-D127</f>
        <v>30.64</v>
      </c>
      <c r="E128" s="90">
        <v>26300.0</v>
      </c>
      <c r="F128" s="41">
        <f>D128*E128</f>
        <v>805832</v>
      </c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33" t="s">
        <v>26</v>
      </c>
      <c r="B129" s="31"/>
      <c r="C129" s="32"/>
      <c r="D129" s="39"/>
      <c r="E129" s="90"/>
      <c r="F129" s="41">
        <f>round(F128*10%,0)</f>
        <v>80583</v>
      </c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33" t="s">
        <v>16</v>
      </c>
      <c r="B130" s="31"/>
      <c r="C130" s="32"/>
      <c r="D130" s="39"/>
      <c r="E130" s="90"/>
      <c r="F130" s="41">
        <f>F128+F129</f>
        <v>886415</v>
      </c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52" t="s">
        <v>195</v>
      </c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53"/>
      <c r="B135" s="53"/>
      <c r="C135" s="53"/>
      <c r="D135" s="53"/>
      <c r="E135" s="53"/>
      <c r="F135" s="53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9" t="s">
        <v>4</v>
      </c>
      <c r="B136" s="9" t="s">
        <v>5</v>
      </c>
      <c r="C136" s="9" t="s">
        <v>6</v>
      </c>
      <c r="D136" s="9" t="s">
        <v>7</v>
      </c>
      <c r="E136" s="9" t="s">
        <v>8</v>
      </c>
      <c r="F136" s="9" t="s">
        <v>9</v>
      </c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13">
        <v>1.0</v>
      </c>
      <c r="B137" s="54" t="s">
        <v>188</v>
      </c>
      <c r="C137" s="55">
        <v>45839.0</v>
      </c>
      <c r="D137" s="22">
        <v>31.46</v>
      </c>
      <c r="E137" s="56"/>
      <c r="F137" s="28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30" t="s">
        <v>32</v>
      </c>
      <c r="B138" s="31"/>
      <c r="C138" s="32"/>
      <c r="D138" s="24">
        <f>round(D137*(1+10%),2)</f>
        <v>34.61</v>
      </c>
      <c r="E138" s="57"/>
      <c r="F138" s="28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30" t="s">
        <v>24</v>
      </c>
      <c r="B139" s="31"/>
      <c r="C139" s="32"/>
      <c r="D139" s="24">
        <f>round(D138*10%,2)</f>
        <v>3.46</v>
      </c>
      <c r="E139" s="57"/>
      <c r="F139" s="28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33" t="s">
        <v>9</v>
      </c>
      <c r="B140" s="31"/>
      <c r="C140" s="32"/>
      <c r="D140" s="39">
        <f>D138-D139</f>
        <v>31.15</v>
      </c>
      <c r="E140" s="90">
        <v>26382.0</v>
      </c>
      <c r="F140" s="41">
        <f>D140*E140</f>
        <v>821799.3</v>
      </c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33" t="s">
        <v>26</v>
      </c>
      <c r="B141" s="31"/>
      <c r="C141" s="32"/>
      <c r="D141" s="39"/>
      <c r="E141" s="90"/>
      <c r="F141" s="41">
        <f>round(F140*10%,0)</f>
        <v>82180</v>
      </c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33" t="s">
        <v>16</v>
      </c>
      <c r="B142" s="31"/>
      <c r="C142" s="32"/>
      <c r="D142" s="39"/>
      <c r="E142" s="90"/>
      <c r="F142" s="41">
        <f>F140+F141</f>
        <v>903979.3</v>
      </c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52" t="s">
        <v>195</v>
      </c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53"/>
      <c r="B148" s="53"/>
      <c r="C148" s="53"/>
      <c r="D148" s="53"/>
      <c r="E148" s="53"/>
      <c r="F148" s="53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9" t="s">
        <v>4</v>
      </c>
      <c r="B149" s="9" t="s">
        <v>5</v>
      </c>
      <c r="C149" s="9" t="s">
        <v>6</v>
      </c>
      <c r="D149" s="9" t="s">
        <v>7</v>
      </c>
      <c r="E149" s="9" t="s">
        <v>8</v>
      </c>
      <c r="F149" s="9" t="s">
        <v>9</v>
      </c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13">
        <v>1.0</v>
      </c>
      <c r="B150" s="54" t="s">
        <v>188</v>
      </c>
      <c r="C150" s="55">
        <v>45870.0</v>
      </c>
      <c r="D150" s="22">
        <v>28.94</v>
      </c>
      <c r="E150" s="56"/>
      <c r="F150" s="28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30" t="s">
        <v>32</v>
      </c>
      <c r="B151" s="31"/>
      <c r="C151" s="32"/>
      <c r="D151" s="24">
        <f>round(D150*(1+10%),2)</f>
        <v>31.83</v>
      </c>
      <c r="E151" s="57"/>
      <c r="F151" s="28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30" t="s">
        <v>24</v>
      </c>
      <c r="B152" s="31"/>
      <c r="C152" s="32"/>
      <c r="D152" s="24">
        <f>round(D151*10%,2)</f>
        <v>3.18</v>
      </c>
      <c r="E152" s="57"/>
      <c r="F152" s="28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33" t="s">
        <v>9</v>
      </c>
      <c r="B153" s="31"/>
      <c r="C153" s="32"/>
      <c r="D153" s="39">
        <f>D151-D152</f>
        <v>28.65</v>
      </c>
      <c r="E153" s="90">
        <v>26502.0</v>
      </c>
      <c r="F153" s="41">
        <f>D153*E153</f>
        <v>759282.3</v>
      </c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33" t="s">
        <v>26</v>
      </c>
      <c r="B154" s="31"/>
      <c r="C154" s="32"/>
      <c r="D154" s="39"/>
      <c r="E154" s="90"/>
      <c r="F154" s="41">
        <f>round(F153*10%,0)</f>
        <v>75928</v>
      </c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33" t="s">
        <v>16</v>
      </c>
      <c r="B155" s="31"/>
      <c r="C155" s="32"/>
      <c r="D155" s="39"/>
      <c r="E155" s="90"/>
      <c r="F155" s="41">
        <f>F153+F154</f>
        <v>835210.3</v>
      </c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52" t="s">
        <v>195</v>
      </c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53"/>
      <c r="B162" s="53"/>
      <c r="C162" s="53"/>
      <c r="D162" s="53"/>
      <c r="E162" s="53"/>
      <c r="F162" s="53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9" t="s">
        <v>4</v>
      </c>
      <c r="B163" s="9" t="s">
        <v>5</v>
      </c>
      <c r="C163" s="9" t="s">
        <v>6</v>
      </c>
      <c r="D163" s="9" t="s">
        <v>7</v>
      </c>
      <c r="E163" s="9" t="s">
        <v>8</v>
      </c>
      <c r="F163" s="9" t="s">
        <v>9</v>
      </c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13">
        <v>1.0</v>
      </c>
      <c r="B164" s="54" t="s">
        <v>188</v>
      </c>
      <c r="C164" s="55">
        <v>45901.0</v>
      </c>
      <c r="D164" s="22">
        <v>25.27</v>
      </c>
      <c r="E164" s="56"/>
      <c r="F164" s="28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30" t="s">
        <v>32</v>
      </c>
      <c r="B165" s="31"/>
      <c r="C165" s="32"/>
      <c r="D165" s="24">
        <f>round(D164*(1+10%),2)</f>
        <v>27.8</v>
      </c>
      <c r="E165" s="57"/>
      <c r="F165" s="28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30" t="s">
        <v>24</v>
      </c>
      <c r="B166" s="31"/>
      <c r="C166" s="32"/>
      <c r="D166" s="24">
        <f>round(D165*10%,2)</f>
        <v>2.78</v>
      </c>
      <c r="E166" s="57"/>
      <c r="F166" s="28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33" t="s">
        <v>9</v>
      </c>
      <c r="B167" s="31"/>
      <c r="C167" s="32"/>
      <c r="D167" s="39">
        <f>D165-D166</f>
        <v>25.02</v>
      </c>
      <c r="E167" s="90">
        <v>26446.0</v>
      </c>
      <c r="F167" s="41">
        <f>D167*E167</f>
        <v>661678.92</v>
      </c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33" t="s">
        <v>26</v>
      </c>
      <c r="B168" s="31"/>
      <c r="C168" s="32"/>
      <c r="D168" s="39"/>
      <c r="E168" s="90"/>
      <c r="F168" s="41">
        <f>round(F167*10%,0)</f>
        <v>66168</v>
      </c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33" t="s">
        <v>16</v>
      </c>
      <c r="B169" s="31"/>
      <c r="C169" s="32"/>
      <c r="D169" s="39"/>
      <c r="E169" s="90"/>
      <c r="F169" s="41">
        <f>F167+F168</f>
        <v>727846.92</v>
      </c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</sheetData>
  <mergeCells count="84">
    <mergeCell ref="A102:C102"/>
    <mergeCell ref="A103:C103"/>
    <mergeCell ref="A104:C104"/>
    <mergeCell ref="A105:C105"/>
    <mergeCell ref="A106:C106"/>
    <mergeCell ref="A110:F110"/>
    <mergeCell ref="A114:C114"/>
    <mergeCell ref="A115:C115"/>
    <mergeCell ref="A116:C116"/>
    <mergeCell ref="A117:C117"/>
    <mergeCell ref="A118:C118"/>
    <mergeCell ref="A122:F122"/>
    <mergeCell ref="A126:C126"/>
    <mergeCell ref="A127:C127"/>
    <mergeCell ref="A128:C128"/>
    <mergeCell ref="A129:C129"/>
    <mergeCell ref="A130:C130"/>
    <mergeCell ref="A134:F134"/>
    <mergeCell ref="A138:C138"/>
    <mergeCell ref="A139:C139"/>
    <mergeCell ref="A140:C140"/>
    <mergeCell ref="A155:C155"/>
    <mergeCell ref="A161:F161"/>
    <mergeCell ref="A165:C165"/>
    <mergeCell ref="A166:C166"/>
    <mergeCell ref="A167:C167"/>
    <mergeCell ref="A168:C168"/>
    <mergeCell ref="A169:C169"/>
    <mergeCell ref="A141:C141"/>
    <mergeCell ref="A142:C142"/>
    <mergeCell ref="A147:F147"/>
    <mergeCell ref="A151:C151"/>
    <mergeCell ref="A152:C152"/>
    <mergeCell ref="A153:C153"/>
    <mergeCell ref="A154:C154"/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6:F26"/>
    <mergeCell ref="A30:C30"/>
    <mergeCell ref="A31:C31"/>
    <mergeCell ref="A32:C32"/>
    <mergeCell ref="A33:C33"/>
    <mergeCell ref="A34:C34"/>
    <mergeCell ref="A38:F38"/>
    <mergeCell ref="A42:C42"/>
    <mergeCell ref="A43:C43"/>
    <mergeCell ref="A44:C44"/>
    <mergeCell ref="A45:C45"/>
    <mergeCell ref="A46:C46"/>
    <mergeCell ref="A50:F50"/>
    <mergeCell ref="A54:C54"/>
    <mergeCell ref="A55:C55"/>
    <mergeCell ref="A56:C56"/>
    <mergeCell ref="A57:C57"/>
    <mergeCell ref="A58:C58"/>
    <mergeCell ref="A62:F62"/>
    <mergeCell ref="A66:C66"/>
    <mergeCell ref="A67:C67"/>
    <mergeCell ref="A68:C68"/>
    <mergeCell ref="A69:C69"/>
    <mergeCell ref="A70:C70"/>
    <mergeCell ref="A74:F74"/>
    <mergeCell ref="A78:C78"/>
    <mergeCell ref="A79:C79"/>
    <mergeCell ref="A80:C80"/>
    <mergeCell ref="A81:C81"/>
    <mergeCell ref="A82:C82"/>
    <mergeCell ref="A86:F86"/>
    <mergeCell ref="A90:C90"/>
    <mergeCell ref="A91:C91"/>
    <mergeCell ref="A92:C92"/>
    <mergeCell ref="A93:C93"/>
    <mergeCell ref="A94:C94"/>
    <mergeCell ref="A98:F98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9.75"/>
    <col customWidth="1" min="3" max="7" width="15.88"/>
  </cols>
  <sheetData>
    <row r="1">
      <c r="A1" s="52" t="s">
        <v>189</v>
      </c>
    </row>
    <row r="2">
      <c r="A2" s="53"/>
      <c r="B2" s="53"/>
      <c r="C2" s="53"/>
      <c r="D2" s="53"/>
      <c r="E2" s="53"/>
      <c r="F2" s="53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</row>
    <row r="4">
      <c r="A4" s="13">
        <v>1.0</v>
      </c>
      <c r="B4" s="54" t="s">
        <v>190</v>
      </c>
      <c r="C4" s="55">
        <v>45901.0</v>
      </c>
      <c r="D4" s="22">
        <v>1074.5</v>
      </c>
      <c r="E4" s="56"/>
      <c r="F4" s="28"/>
    </row>
    <row r="5">
      <c r="A5" s="30" t="s">
        <v>113</v>
      </c>
      <c r="B5" s="31"/>
      <c r="C5" s="32"/>
      <c r="D5" s="24">
        <f>round(D4*10%,2)</f>
        <v>107.45</v>
      </c>
      <c r="E5" s="57"/>
      <c r="F5" s="28"/>
    </row>
    <row r="6">
      <c r="A6" s="30" t="s">
        <v>106</v>
      </c>
      <c r="B6" s="31"/>
      <c r="C6" s="32"/>
      <c r="D6" s="24">
        <f>round(D4*10%,2)</f>
        <v>107.45</v>
      </c>
      <c r="E6" s="57"/>
      <c r="F6" s="28"/>
    </row>
    <row r="7">
      <c r="A7" s="33" t="s">
        <v>9</v>
      </c>
      <c r="B7" s="31"/>
      <c r="C7" s="32"/>
      <c r="D7" s="39">
        <f>D4-D5+D6</f>
        <v>1074.5</v>
      </c>
      <c r="E7" s="90">
        <v>26446.0</v>
      </c>
      <c r="F7" s="41">
        <f>round(D7*E7,0)</f>
        <v>28416227</v>
      </c>
    </row>
    <row r="8">
      <c r="A8" s="33" t="s">
        <v>26</v>
      </c>
      <c r="B8" s="31"/>
      <c r="C8" s="32"/>
      <c r="D8" s="39"/>
      <c r="E8" s="90"/>
      <c r="F8" s="41">
        <f>round(F7*10%,0)</f>
        <v>2841623</v>
      </c>
    </row>
    <row r="9">
      <c r="A9" s="33" t="s">
        <v>16</v>
      </c>
      <c r="B9" s="31"/>
      <c r="C9" s="32"/>
      <c r="D9" s="39"/>
      <c r="E9" s="90"/>
      <c r="F9" s="41">
        <f>F7+F8</f>
        <v>31257850</v>
      </c>
    </row>
    <row r="15">
      <c r="A15" s="52" t="s">
        <v>189</v>
      </c>
    </row>
    <row r="16">
      <c r="A16" s="53"/>
      <c r="B16" s="53"/>
      <c r="C16" s="53"/>
      <c r="D16" s="53"/>
      <c r="E16" s="53"/>
      <c r="F16" s="53"/>
    </row>
    <row r="17">
      <c r="A17" s="9" t="s">
        <v>4</v>
      </c>
      <c r="B17" s="9" t="s">
        <v>5</v>
      </c>
      <c r="C17" s="9" t="s">
        <v>6</v>
      </c>
      <c r="D17" s="9" t="s">
        <v>7</v>
      </c>
      <c r="E17" s="9" t="s">
        <v>8</v>
      </c>
      <c r="F17" s="9" t="s">
        <v>9</v>
      </c>
    </row>
    <row r="18">
      <c r="A18" s="13">
        <v>1.0</v>
      </c>
      <c r="B18" s="54" t="s">
        <v>190</v>
      </c>
      <c r="C18" s="55">
        <v>45931.0</v>
      </c>
      <c r="D18" s="22">
        <v>1213.92</v>
      </c>
      <c r="E18" s="56"/>
      <c r="F18" s="28"/>
    </row>
    <row r="19">
      <c r="A19" s="30" t="s">
        <v>113</v>
      </c>
      <c r="B19" s="31"/>
      <c r="C19" s="32"/>
      <c r="D19" s="24">
        <f>round(D18*10%,2)</f>
        <v>121.39</v>
      </c>
      <c r="E19" s="57"/>
      <c r="F19" s="28"/>
    </row>
    <row r="20">
      <c r="A20" s="30" t="s">
        <v>106</v>
      </c>
      <c r="B20" s="31"/>
      <c r="C20" s="32"/>
      <c r="D20" s="24">
        <f>round(D18*10%,2)</f>
        <v>121.39</v>
      </c>
      <c r="E20" s="57"/>
      <c r="F20" s="28"/>
    </row>
    <row r="21">
      <c r="A21" s="33" t="s">
        <v>9</v>
      </c>
      <c r="B21" s="31"/>
      <c r="C21" s="32"/>
      <c r="D21" s="39">
        <f>D18-D19+D20</f>
        <v>1213.92</v>
      </c>
      <c r="E21" s="90">
        <v>26347.0</v>
      </c>
      <c r="F21" s="41">
        <f>round(D21*E21,0)</f>
        <v>31983150</v>
      </c>
    </row>
    <row r="22">
      <c r="A22" s="33" t="s">
        <v>26</v>
      </c>
      <c r="B22" s="31"/>
      <c r="C22" s="32"/>
      <c r="D22" s="39"/>
      <c r="E22" s="90"/>
      <c r="F22" s="41">
        <f>round(F21*10%,0)</f>
        <v>3198315</v>
      </c>
    </row>
    <row r="23">
      <c r="A23" s="33" t="s">
        <v>16</v>
      </c>
      <c r="B23" s="31"/>
      <c r="C23" s="32"/>
      <c r="D23" s="39"/>
      <c r="E23" s="90"/>
      <c r="F23" s="41">
        <f>F21+F22</f>
        <v>35181465</v>
      </c>
    </row>
  </sheetData>
  <mergeCells count="12">
    <mergeCell ref="A19:C19"/>
    <mergeCell ref="A20:C20"/>
    <mergeCell ref="A21:C21"/>
    <mergeCell ref="A22:C22"/>
    <mergeCell ref="A23:C23"/>
    <mergeCell ref="A1:F1"/>
    <mergeCell ref="A5:C5"/>
    <mergeCell ref="A6:C6"/>
    <mergeCell ref="A7:C7"/>
    <mergeCell ref="A8:C8"/>
    <mergeCell ref="A9:C9"/>
    <mergeCell ref="A15:F15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25"/>
    <col customWidth="1" min="2" max="2" width="50.25"/>
    <col customWidth="1" min="3" max="6" width="13.38"/>
  </cols>
  <sheetData>
    <row r="1">
      <c r="A1" s="52" t="s">
        <v>191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53"/>
      <c r="B2" s="53"/>
      <c r="C2" s="53"/>
      <c r="D2" s="53"/>
      <c r="E2" s="53"/>
      <c r="F2" s="53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13">
        <v>1.0</v>
      </c>
      <c r="B4" s="54" t="s">
        <v>193</v>
      </c>
      <c r="C4" s="55">
        <v>45689.0</v>
      </c>
      <c r="D4" s="22">
        <v>22652.77</v>
      </c>
      <c r="E4" s="56"/>
      <c r="F4" s="28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30" t="s">
        <v>21</v>
      </c>
      <c r="B5" s="31"/>
      <c r="C5" s="32"/>
      <c r="D5" s="24">
        <f>round(D4*(1+5.26%),2)</f>
        <v>23844.31</v>
      </c>
      <c r="E5" s="57"/>
      <c r="F5" s="28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30" t="s">
        <v>34</v>
      </c>
      <c r="B6" s="31"/>
      <c r="C6" s="32"/>
      <c r="D6" s="24">
        <f>round(D5*12%,2)</f>
        <v>2861.32</v>
      </c>
      <c r="E6" s="57"/>
      <c r="F6" s="28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33" t="s">
        <v>9</v>
      </c>
      <c r="B7" s="31"/>
      <c r="C7" s="32"/>
      <c r="D7" s="39">
        <f>D5-D6</f>
        <v>20982.99</v>
      </c>
      <c r="E7" s="90">
        <v>25735.0</v>
      </c>
      <c r="F7" s="41">
        <f>round(D7*E7,0)</f>
        <v>539997248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33" t="s">
        <v>26</v>
      </c>
      <c r="B8" s="31"/>
      <c r="C8" s="32"/>
      <c r="D8" s="39"/>
      <c r="E8" s="90"/>
      <c r="F8" s="41">
        <f>round(F7*10%,0)</f>
        <v>53999725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33" t="s">
        <v>16</v>
      </c>
      <c r="B9" s="31"/>
      <c r="C9" s="32"/>
      <c r="D9" s="39"/>
      <c r="E9" s="90"/>
      <c r="F9" s="41">
        <f>F7+F8</f>
        <v>593996973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52" t="s">
        <v>191</v>
      </c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53"/>
      <c r="B15" s="53"/>
      <c r="C15" s="53"/>
      <c r="D15" s="53"/>
      <c r="E15" s="53"/>
      <c r="F15" s="53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9" t="s">
        <v>4</v>
      </c>
      <c r="B16" s="9" t="s">
        <v>5</v>
      </c>
      <c r="C16" s="9" t="s">
        <v>6</v>
      </c>
      <c r="D16" s="9" t="s">
        <v>7</v>
      </c>
      <c r="E16" s="9" t="s">
        <v>8</v>
      </c>
      <c r="F16" s="9" t="s">
        <v>9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13">
        <v>1.0</v>
      </c>
      <c r="B17" s="54" t="s">
        <v>193</v>
      </c>
      <c r="C17" s="55">
        <v>45717.0</v>
      </c>
      <c r="D17" s="22">
        <v>22854.82</v>
      </c>
      <c r="E17" s="56"/>
      <c r="F17" s="28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30" t="s">
        <v>21</v>
      </c>
      <c r="B18" s="31"/>
      <c r="C18" s="32"/>
      <c r="D18" s="24">
        <f>round(D17*(1+5.26%),2)</f>
        <v>24056.98</v>
      </c>
      <c r="E18" s="57"/>
      <c r="F18" s="28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30" t="s">
        <v>34</v>
      </c>
      <c r="B19" s="31"/>
      <c r="C19" s="32"/>
      <c r="D19" s="24">
        <f>round(D18*12%,2)</f>
        <v>2886.84</v>
      </c>
      <c r="E19" s="57"/>
      <c r="F19" s="28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33" t="s">
        <v>9</v>
      </c>
      <c r="B20" s="31"/>
      <c r="C20" s="32"/>
      <c r="D20" s="39">
        <f>D18-D19</f>
        <v>21170.14</v>
      </c>
      <c r="E20" s="90">
        <v>25775.0</v>
      </c>
      <c r="F20" s="41">
        <f>round(D20*E20,0)</f>
        <v>545660359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33" t="s">
        <v>26</v>
      </c>
      <c r="B21" s="31"/>
      <c r="C21" s="32"/>
      <c r="D21" s="39"/>
      <c r="E21" s="90"/>
      <c r="F21" s="41">
        <f>round(F20*10%,0)</f>
        <v>54566036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33" t="s">
        <v>16</v>
      </c>
      <c r="B22" s="31"/>
      <c r="C22" s="32"/>
      <c r="D22" s="39"/>
      <c r="E22" s="90"/>
      <c r="F22" s="41">
        <f>F20+F21</f>
        <v>600226395</v>
      </c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52" t="s">
        <v>191</v>
      </c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53"/>
      <c r="B27" s="53"/>
      <c r="C27" s="53"/>
      <c r="D27" s="53"/>
      <c r="E27" s="53"/>
      <c r="F27" s="53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9" t="s">
        <v>4</v>
      </c>
      <c r="B28" s="9" t="s">
        <v>5</v>
      </c>
      <c r="C28" s="9" t="s">
        <v>6</v>
      </c>
      <c r="D28" s="9" t="s">
        <v>7</v>
      </c>
      <c r="E28" s="9" t="s">
        <v>8</v>
      </c>
      <c r="F28" s="9" t="s">
        <v>9</v>
      </c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13">
        <v>1.0</v>
      </c>
      <c r="B29" s="54" t="s">
        <v>193</v>
      </c>
      <c r="C29" s="55">
        <v>45748.0</v>
      </c>
      <c r="D29" s="22">
        <v>23463.93</v>
      </c>
      <c r="E29" s="56"/>
      <c r="F29" s="28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30" t="s">
        <v>21</v>
      </c>
      <c r="B30" s="31"/>
      <c r="C30" s="32"/>
      <c r="D30" s="24">
        <f>round(D29*(1+5.26%),2)</f>
        <v>24698.13</v>
      </c>
      <c r="E30" s="57"/>
      <c r="F30" s="2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30" t="s">
        <v>34</v>
      </c>
      <c r="B31" s="31"/>
      <c r="C31" s="32"/>
      <c r="D31" s="24">
        <f>round(D30*12%,2)</f>
        <v>2963.78</v>
      </c>
      <c r="E31" s="57"/>
      <c r="F31" s="28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33" t="s">
        <v>9</v>
      </c>
      <c r="B32" s="31"/>
      <c r="C32" s="32"/>
      <c r="D32" s="39">
        <f>D30-D31</f>
        <v>21734.35</v>
      </c>
      <c r="E32" s="90">
        <v>26190.0</v>
      </c>
      <c r="F32" s="41">
        <f>round(D32*E32,0)</f>
        <v>569222627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33" t="s">
        <v>26</v>
      </c>
      <c r="B33" s="31"/>
      <c r="C33" s="32"/>
      <c r="D33" s="39"/>
      <c r="E33" s="90"/>
      <c r="F33" s="41">
        <f>round(F32*10%,0)</f>
        <v>56922263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33" t="s">
        <v>16</v>
      </c>
      <c r="B34" s="31"/>
      <c r="C34" s="32"/>
      <c r="D34" s="39"/>
      <c r="E34" s="90"/>
      <c r="F34" s="41">
        <f>F32+F33</f>
        <v>626144890</v>
      </c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52" t="s">
        <v>191</v>
      </c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53"/>
      <c r="B39" s="53"/>
      <c r="C39" s="53"/>
      <c r="D39" s="53"/>
      <c r="E39" s="53"/>
      <c r="F39" s="53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9" t="s">
        <v>4</v>
      </c>
      <c r="B40" s="9" t="s">
        <v>5</v>
      </c>
      <c r="C40" s="9" t="s">
        <v>6</v>
      </c>
      <c r="D40" s="9" t="s">
        <v>7</v>
      </c>
      <c r="E40" s="9" t="s">
        <v>8</v>
      </c>
      <c r="F40" s="9" t="s">
        <v>9</v>
      </c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13">
        <v>1.0</v>
      </c>
      <c r="B41" s="54" t="s">
        <v>193</v>
      </c>
      <c r="C41" s="55">
        <v>45778.0</v>
      </c>
      <c r="D41" s="22">
        <v>23481.11</v>
      </c>
      <c r="E41" s="56"/>
      <c r="F41" s="28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30" t="s">
        <v>21</v>
      </c>
      <c r="B42" s="31"/>
      <c r="C42" s="32"/>
      <c r="D42" s="24">
        <f>round(D41*(1+5.26%),2)</f>
        <v>24716.22</v>
      </c>
      <c r="E42" s="57"/>
      <c r="F42" s="28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30" t="s">
        <v>34</v>
      </c>
      <c r="B43" s="31"/>
      <c r="C43" s="32"/>
      <c r="D43" s="24">
        <f>round(D42*12%,2)</f>
        <v>2965.95</v>
      </c>
      <c r="E43" s="57"/>
      <c r="F43" s="28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33" t="s">
        <v>9</v>
      </c>
      <c r="B44" s="31"/>
      <c r="C44" s="32"/>
      <c r="D44" s="39">
        <f>D42-D43</f>
        <v>21750.27</v>
      </c>
      <c r="E44" s="90">
        <v>26225.0</v>
      </c>
      <c r="F44" s="41">
        <f>round(D44*E44,0)</f>
        <v>570400831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33" t="s">
        <v>26</v>
      </c>
      <c r="B45" s="31"/>
      <c r="C45" s="32"/>
      <c r="D45" s="39"/>
      <c r="E45" s="90"/>
      <c r="F45" s="41">
        <f>round(F44*10%,0)</f>
        <v>57040083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33" t="s">
        <v>16</v>
      </c>
      <c r="B46" s="31"/>
      <c r="C46" s="32"/>
      <c r="D46" s="39"/>
      <c r="E46" s="90"/>
      <c r="F46" s="41">
        <f>F44+F45</f>
        <v>627440914</v>
      </c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52" t="s">
        <v>191</v>
      </c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53"/>
      <c r="B51" s="53"/>
      <c r="C51" s="53"/>
      <c r="D51" s="53"/>
      <c r="E51" s="53"/>
      <c r="F51" s="53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9" t="s">
        <v>4</v>
      </c>
      <c r="B52" s="9" t="s">
        <v>5</v>
      </c>
      <c r="C52" s="9" t="s">
        <v>6</v>
      </c>
      <c r="D52" s="9" t="s">
        <v>7</v>
      </c>
      <c r="E52" s="9" t="s">
        <v>8</v>
      </c>
      <c r="F52" s="9" t="s">
        <v>9</v>
      </c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13">
        <v>1.0</v>
      </c>
      <c r="B53" s="54" t="s">
        <v>193</v>
      </c>
      <c r="C53" s="55">
        <v>45809.0</v>
      </c>
      <c r="D53" s="22">
        <v>21272.72</v>
      </c>
      <c r="E53" s="56"/>
      <c r="F53" s="28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30" t="s">
        <v>21</v>
      </c>
      <c r="B54" s="31"/>
      <c r="C54" s="32"/>
      <c r="D54" s="24">
        <f>round(D53*(1+5.26%),2)</f>
        <v>22391.67</v>
      </c>
      <c r="E54" s="57"/>
      <c r="F54" s="28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30" t="s">
        <v>34</v>
      </c>
      <c r="B55" s="31"/>
      <c r="C55" s="32"/>
      <c r="D55" s="24">
        <f>round(D54*12%,2)</f>
        <v>2687</v>
      </c>
      <c r="E55" s="57"/>
      <c r="F55" s="28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33" t="s">
        <v>9</v>
      </c>
      <c r="B56" s="31"/>
      <c r="C56" s="32"/>
      <c r="D56" s="39">
        <f>D54-D55</f>
        <v>19704.67</v>
      </c>
      <c r="E56" s="90">
        <v>26300.0</v>
      </c>
      <c r="F56" s="41">
        <f>round(D56*E56,0)</f>
        <v>518232821</v>
      </c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33" t="s">
        <v>26</v>
      </c>
      <c r="B57" s="31"/>
      <c r="C57" s="32"/>
      <c r="D57" s="39"/>
      <c r="E57" s="90"/>
      <c r="F57" s="41">
        <f>round(F56*10%,0)</f>
        <v>51823282</v>
      </c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33" t="s">
        <v>16</v>
      </c>
      <c r="B58" s="31"/>
      <c r="C58" s="32"/>
      <c r="D58" s="39"/>
      <c r="E58" s="90"/>
      <c r="F58" s="41">
        <f>F56+F57</f>
        <v>570056103</v>
      </c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52" t="s">
        <v>191</v>
      </c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53"/>
      <c r="B63" s="53"/>
      <c r="C63" s="53"/>
      <c r="D63" s="53"/>
      <c r="E63" s="53"/>
      <c r="F63" s="53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9" t="s">
        <v>4</v>
      </c>
      <c r="B64" s="9" t="s">
        <v>5</v>
      </c>
      <c r="C64" s="9" t="s">
        <v>6</v>
      </c>
      <c r="D64" s="9" t="s">
        <v>7</v>
      </c>
      <c r="E64" s="9" t="s">
        <v>8</v>
      </c>
      <c r="F64" s="9" t="s">
        <v>9</v>
      </c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13">
        <v>1.0</v>
      </c>
      <c r="B65" s="54" t="s">
        <v>193</v>
      </c>
      <c r="C65" s="55">
        <v>45839.0</v>
      </c>
      <c r="D65" s="22">
        <v>17510.14</v>
      </c>
      <c r="E65" s="56"/>
      <c r="F65" s="28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30" t="s">
        <v>32</v>
      </c>
      <c r="B66" s="31"/>
      <c r="C66" s="32"/>
      <c r="D66" s="24">
        <f>round(D65*(1+10%),2)</f>
        <v>19261.15</v>
      </c>
      <c r="E66" s="57"/>
      <c r="F66" s="28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30" t="s">
        <v>34</v>
      </c>
      <c r="B67" s="31"/>
      <c r="C67" s="32"/>
      <c r="D67" s="24">
        <f>round(D66*12%,2)</f>
        <v>2311.34</v>
      </c>
      <c r="E67" s="57"/>
      <c r="F67" s="28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33" t="s">
        <v>9</v>
      </c>
      <c r="B68" s="31"/>
      <c r="C68" s="32"/>
      <c r="D68" s="39">
        <f>D66-D67</f>
        <v>16949.81</v>
      </c>
      <c r="E68" s="90">
        <v>26382.0</v>
      </c>
      <c r="F68" s="41">
        <f>round(D68*E68,0)</f>
        <v>447169887</v>
      </c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33" t="s">
        <v>26</v>
      </c>
      <c r="B69" s="31"/>
      <c r="C69" s="32"/>
      <c r="D69" s="39"/>
      <c r="E69" s="90"/>
      <c r="F69" s="41">
        <f>round(F68*10%,0)</f>
        <v>44716989</v>
      </c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33" t="s">
        <v>16</v>
      </c>
      <c r="B70" s="31"/>
      <c r="C70" s="32"/>
      <c r="D70" s="39"/>
      <c r="E70" s="90"/>
      <c r="F70" s="41">
        <f>F68+F69</f>
        <v>491886876</v>
      </c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52" t="s">
        <v>191</v>
      </c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53"/>
      <c r="B75" s="53"/>
      <c r="C75" s="53"/>
      <c r="D75" s="53"/>
      <c r="E75" s="53"/>
      <c r="F75" s="53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9" t="s">
        <v>4</v>
      </c>
      <c r="B76" s="9" t="s">
        <v>5</v>
      </c>
      <c r="C76" s="9" t="s">
        <v>6</v>
      </c>
      <c r="D76" s="9" t="s">
        <v>7</v>
      </c>
      <c r="E76" s="9" t="s">
        <v>8</v>
      </c>
      <c r="F76" s="9" t="s">
        <v>9</v>
      </c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13">
        <v>1.0</v>
      </c>
      <c r="B77" s="54" t="s">
        <v>193</v>
      </c>
      <c r="C77" s="55">
        <v>45870.0</v>
      </c>
      <c r="D77" s="22">
        <v>17331.33</v>
      </c>
      <c r="E77" s="56"/>
      <c r="F77" s="28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30" t="s">
        <v>32</v>
      </c>
      <c r="B78" s="31"/>
      <c r="C78" s="32"/>
      <c r="D78" s="24">
        <f>round(D77*(1+10%),2)</f>
        <v>19064.46</v>
      </c>
      <c r="E78" s="57"/>
      <c r="F78" s="28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30" t="s">
        <v>34</v>
      </c>
      <c r="B79" s="31"/>
      <c r="C79" s="32"/>
      <c r="D79" s="24">
        <f>round(D78*12%,2)</f>
        <v>2287.74</v>
      </c>
      <c r="E79" s="57"/>
      <c r="F79" s="28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33" t="s">
        <v>9</v>
      </c>
      <c r="B80" s="31"/>
      <c r="C80" s="32"/>
      <c r="D80" s="39">
        <f>D78-D79</f>
        <v>16776.72</v>
      </c>
      <c r="E80" s="90">
        <v>26502.0</v>
      </c>
      <c r="F80" s="41">
        <f>round(D80*E80,0)</f>
        <v>444616633</v>
      </c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33" t="s">
        <v>26</v>
      </c>
      <c r="B81" s="31"/>
      <c r="C81" s="32"/>
      <c r="D81" s="39"/>
      <c r="E81" s="90"/>
      <c r="F81" s="41">
        <f>round(F80*10%,0)</f>
        <v>44461663</v>
      </c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33" t="s">
        <v>16</v>
      </c>
      <c r="B82" s="31"/>
      <c r="C82" s="32"/>
      <c r="D82" s="39"/>
      <c r="E82" s="90"/>
      <c r="F82" s="41">
        <f>F80+F81</f>
        <v>489078296</v>
      </c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42">
    <mergeCell ref="A1:F1"/>
    <mergeCell ref="A5:C5"/>
    <mergeCell ref="A6:C6"/>
    <mergeCell ref="A7:C7"/>
    <mergeCell ref="A8:C8"/>
    <mergeCell ref="A9:C9"/>
    <mergeCell ref="A14:F14"/>
    <mergeCell ref="A18:C18"/>
    <mergeCell ref="A19:C19"/>
    <mergeCell ref="A20:C20"/>
    <mergeCell ref="A21:C21"/>
    <mergeCell ref="A22:C22"/>
    <mergeCell ref="A26:F26"/>
    <mergeCell ref="A30:C30"/>
    <mergeCell ref="A31:C31"/>
    <mergeCell ref="A32:C32"/>
    <mergeCell ref="A33:C33"/>
    <mergeCell ref="A34:C34"/>
    <mergeCell ref="A38:F38"/>
    <mergeCell ref="A42:C42"/>
    <mergeCell ref="A43:C43"/>
    <mergeCell ref="A44:C44"/>
    <mergeCell ref="A45:C45"/>
    <mergeCell ref="A46:C46"/>
    <mergeCell ref="A50:F50"/>
    <mergeCell ref="A54:C54"/>
    <mergeCell ref="A55:C55"/>
    <mergeCell ref="A56:C56"/>
    <mergeCell ref="A70:C70"/>
    <mergeCell ref="A74:F74"/>
    <mergeCell ref="A78:C78"/>
    <mergeCell ref="A79:C79"/>
    <mergeCell ref="A80:C80"/>
    <mergeCell ref="A81:C81"/>
    <mergeCell ref="A82:C82"/>
    <mergeCell ref="A57:C57"/>
    <mergeCell ref="A58:C58"/>
    <mergeCell ref="A62:F62"/>
    <mergeCell ref="A66:C66"/>
    <mergeCell ref="A67:C67"/>
    <mergeCell ref="A68:C68"/>
    <mergeCell ref="A69:C69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25"/>
    <col customWidth="1" min="2" max="2" width="58.63"/>
    <col customWidth="1" min="3" max="3" width="11.0"/>
    <col customWidth="1" min="4" max="4" width="20.38"/>
    <col customWidth="1" min="5" max="5" width="12.0"/>
    <col customWidth="1" min="6" max="6" width="18.38"/>
  </cols>
  <sheetData>
    <row r="1">
      <c r="A1" s="52" t="s">
        <v>192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53"/>
      <c r="B2" s="53"/>
      <c r="C2" s="53"/>
      <c r="D2" s="53"/>
      <c r="E2" s="53"/>
      <c r="F2" s="53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13">
        <v>1.0</v>
      </c>
      <c r="B4" s="54" t="s">
        <v>194</v>
      </c>
      <c r="C4" s="55">
        <v>45658.0</v>
      </c>
      <c r="D4" s="22">
        <v>5.0</v>
      </c>
      <c r="E4" s="56"/>
      <c r="F4" s="28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30" t="s">
        <v>21</v>
      </c>
      <c r="B5" s="31"/>
      <c r="C5" s="32"/>
      <c r="D5" s="24">
        <f>round(D4*(1+5.26%),2)</f>
        <v>5.26</v>
      </c>
      <c r="E5" s="57"/>
      <c r="F5" s="28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30" t="s">
        <v>24</v>
      </c>
      <c r="B6" s="31"/>
      <c r="C6" s="32"/>
      <c r="D6" s="24">
        <f>round(D5*10%,2)</f>
        <v>0.53</v>
      </c>
      <c r="E6" s="57"/>
      <c r="F6" s="28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33" t="s">
        <v>9</v>
      </c>
      <c r="B7" s="31"/>
      <c r="C7" s="32"/>
      <c r="D7" s="39">
        <f>D5-D6</f>
        <v>4.73</v>
      </c>
      <c r="E7" s="90">
        <v>25295.0</v>
      </c>
      <c r="F7" s="41">
        <f>round(D7*E7,0)</f>
        <v>119645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33" t="s">
        <v>26</v>
      </c>
      <c r="B8" s="31"/>
      <c r="C8" s="32"/>
      <c r="D8" s="39"/>
      <c r="E8" s="90"/>
      <c r="F8" s="41">
        <f>round(F7*10%,0)</f>
        <v>11965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33" t="s">
        <v>16</v>
      </c>
      <c r="B9" s="31"/>
      <c r="C9" s="32"/>
      <c r="D9" s="39"/>
      <c r="E9" s="90"/>
      <c r="F9" s="41">
        <f>F7+F8</f>
        <v>131610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52" t="s">
        <v>192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53"/>
      <c r="B14" s="53"/>
      <c r="C14" s="53"/>
      <c r="D14" s="53"/>
      <c r="E14" s="53"/>
      <c r="F14" s="53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9" t="s">
        <v>4</v>
      </c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13">
        <v>1.0</v>
      </c>
      <c r="B16" s="54" t="s">
        <v>194</v>
      </c>
      <c r="C16" s="55">
        <v>45689.0</v>
      </c>
      <c r="D16" s="22">
        <v>5.0</v>
      </c>
      <c r="E16" s="56"/>
      <c r="F16" s="28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30" t="s">
        <v>21</v>
      </c>
      <c r="B17" s="31"/>
      <c r="C17" s="32"/>
      <c r="D17" s="24">
        <f>round(D16*(1+5.26%),2)</f>
        <v>5.26</v>
      </c>
      <c r="E17" s="57"/>
      <c r="F17" s="28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30" t="s">
        <v>24</v>
      </c>
      <c r="B18" s="31"/>
      <c r="C18" s="32"/>
      <c r="D18" s="24">
        <f>round(D17*10%,2)</f>
        <v>0.53</v>
      </c>
      <c r="E18" s="57"/>
      <c r="F18" s="28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33" t="s">
        <v>9</v>
      </c>
      <c r="B19" s="31"/>
      <c r="C19" s="32"/>
      <c r="D19" s="39">
        <f>D17-D18</f>
        <v>4.73</v>
      </c>
      <c r="E19" s="90">
        <v>25735.0</v>
      </c>
      <c r="F19" s="41">
        <f>round(D19*E19,0)</f>
        <v>121727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33" t="s">
        <v>26</v>
      </c>
      <c r="B20" s="31"/>
      <c r="C20" s="32"/>
      <c r="D20" s="39"/>
      <c r="E20" s="90"/>
      <c r="F20" s="41">
        <f>round(F19*10%,0)</f>
        <v>12173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33" t="s">
        <v>16</v>
      </c>
      <c r="B21" s="31"/>
      <c r="C21" s="32"/>
      <c r="D21" s="39"/>
      <c r="E21" s="90"/>
      <c r="F21" s="41">
        <f>F19+F20</f>
        <v>133900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52" t="s">
        <v>192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53"/>
      <c r="B26" s="53"/>
      <c r="C26" s="53"/>
      <c r="D26" s="53"/>
      <c r="E26" s="53"/>
      <c r="F26" s="53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9" t="s">
        <v>4</v>
      </c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13">
        <v>1.0</v>
      </c>
      <c r="B28" s="54" t="s">
        <v>194</v>
      </c>
      <c r="C28" s="55">
        <v>45717.0</v>
      </c>
      <c r="D28" s="22">
        <v>5.0</v>
      </c>
      <c r="E28" s="56"/>
      <c r="F28" s="28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30" t="s">
        <v>21</v>
      </c>
      <c r="B29" s="31"/>
      <c r="C29" s="32"/>
      <c r="D29" s="24">
        <f>round(D28*(1+5.26%),2)</f>
        <v>5.26</v>
      </c>
      <c r="E29" s="57"/>
      <c r="F29" s="28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30" t="s">
        <v>24</v>
      </c>
      <c r="B30" s="31"/>
      <c r="C30" s="32"/>
      <c r="D30" s="24">
        <f>round(D29*10%,2)</f>
        <v>0.53</v>
      </c>
      <c r="E30" s="57"/>
      <c r="F30" s="2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33" t="s">
        <v>9</v>
      </c>
      <c r="B31" s="31"/>
      <c r="C31" s="32"/>
      <c r="D31" s="39">
        <f>D29-D30</f>
        <v>4.73</v>
      </c>
      <c r="E31" s="90">
        <v>25775.0</v>
      </c>
      <c r="F31" s="41">
        <f>round(D31*E31,0)</f>
        <v>121916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33" t="s">
        <v>26</v>
      </c>
      <c r="B32" s="31"/>
      <c r="C32" s="32"/>
      <c r="D32" s="39"/>
      <c r="E32" s="90"/>
      <c r="F32" s="41">
        <f>round(F31*10%,0)</f>
        <v>12192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33" t="s">
        <v>16</v>
      </c>
      <c r="B33" s="31"/>
      <c r="C33" s="32"/>
      <c r="D33" s="39"/>
      <c r="E33" s="90"/>
      <c r="F33" s="41">
        <f>F31+F32</f>
        <v>134108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52" t="s">
        <v>192</v>
      </c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53"/>
      <c r="B38" s="53"/>
      <c r="C38" s="53"/>
      <c r="D38" s="53"/>
      <c r="E38" s="53"/>
      <c r="F38" s="53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9" t="s">
        <v>4</v>
      </c>
      <c r="B39" s="9" t="s">
        <v>5</v>
      </c>
      <c r="C39" s="9" t="s">
        <v>6</v>
      </c>
      <c r="D39" s="9" t="s">
        <v>7</v>
      </c>
      <c r="E39" s="9" t="s">
        <v>8</v>
      </c>
      <c r="F39" s="9" t="s">
        <v>9</v>
      </c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13">
        <v>1.0</v>
      </c>
      <c r="B40" s="54" t="s">
        <v>194</v>
      </c>
      <c r="C40" s="55">
        <v>45748.0</v>
      </c>
      <c r="D40" s="22">
        <v>5.0</v>
      </c>
      <c r="E40" s="56"/>
      <c r="F40" s="28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30" t="s">
        <v>21</v>
      </c>
      <c r="B41" s="31"/>
      <c r="C41" s="32"/>
      <c r="D41" s="24">
        <f>round(D40*(1+5.26%),2)</f>
        <v>5.26</v>
      </c>
      <c r="E41" s="57"/>
      <c r="F41" s="28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30" t="s">
        <v>24</v>
      </c>
      <c r="B42" s="31"/>
      <c r="C42" s="32"/>
      <c r="D42" s="24">
        <f>round(D41*10%,2)</f>
        <v>0.53</v>
      </c>
      <c r="E42" s="57"/>
      <c r="F42" s="28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33" t="s">
        <v>9</v>
      </c>
      <c r="B43" s="31"/>
      <c r="C43" s="32"/>
      <c r="D43" s="39">
        <f>D41-D42</f>
        <v>4.73</v>
      </c>
      <c r="E43" s="90">
        <v>26190.0</v>
      </c>
      <c r="F43" s="41">
        <f>round(D43*E43,0)</f>
        <v>123879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33" t="s">
        <v>26</v>
      </c>
      <c r="B44" s="31"/>
      <c r="C44" s="32"/>
      <c r="D44" s="39"/>
      <c r="E44" s="90"/>
      <c r="F44" s="41">
        <f>round(F43*10%,0)</f>
        <v>12388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33" t="s">
        <v>16</v>
      </c>
      <c r="B45" s="31"/>
      <c r="C45" s="32"/>
      <c r="D45" s="39"/>
      <c r="E45" s="90"/>
      <c r="F45" s="41">
        <f>F43+F44</f>
        <v>136267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52" t="s">
        <v>192</v>
      </c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53"/>
      <c r="B50" s="53"/>
      <c r="C50" s="53"/>
      <c r="D50" s="53"/>
      <c r="E50" s="53"/>
      <c r="F50" s="53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9" t="s">
        <v>4</v>
      </c>
      <c r="B51" s="9" t="s">
        <v>5</v>
      </c>
      <c r="C51" s="9" t="s">
        <v>6</v>
      </c>
      <c r="D51" s="9" t="s">
        <v>7</v>
      </c>
      <c r="E51" s="9" t="s">
        <v>8</v>
      </c>
      <c r="F51" s="9" t="s">
        <v>9</v>
      </c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13">
        <v>1.0</v>
      </c>
      <c r="B52" s="54" t="s">
        <v>194</v>
      </c>
      <c r="C52" s="55">
        <v>45778.0</v>
      </c>
      <c r="D52" s="22">
        <v>5.0</v>
      </c>
      <c r="E52" s="56"/>
      <c r="F52" s="28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30" t="s">
        <v>21</v>
      </c>
      <c r="B53" s="31"/>
      <c r="C53" s="32"/>
      <c r="D53" s="24">
        <f>round(D52*(1+5.26%),2)</f>
        <v>5.26</v>
      </c>
      <c r="E53" s="57"/>
      <c r="F53" s="28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30" t="s">
        <v>24</v>
      </c>
      <c r="B54" s="31"/>
      <c r="C54" s="32"/>
      <c r="D54" s="24">
        <f>round(D53*10%,2)</f>
        <v>0.53</v>
      </c>
      <c r="E54" s="57"/>
      <c r="F54" s="28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33" t="s">
        <v>9</v>
      </c>
      <c r="B55" s="31"/>
      <c r="C55" s="32"/>
      <c r="D55" s="39">
        <f>D53-D54</f>
        <v>4.73</v>
      </c>
      <c r="E55" s="90">
        <v>26225.0</v>
      </c>
      <c r="F55" s="41">
        <f>round(D55*E55,0)</f>
        <v>124044</v>
      </c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33" t="s">
        <v>26</v>
      </c>
      <c r="B56" s="31"/>
      <c r="C56" s="32"/>
      <c r="D56" s="39"/>
      <c r="E56" s="90"/>
      <c r="F56" s="41">
        <f>round(F55*10%,0)</f>
        <v>12404</v>
      </c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33" t="s">
        <v>16</v>
      </c>
      <c r="B57" s="31"/>
      <c r="C57" s="32"/>
      <c r="D57" s="39"/>
      <c r="E57" s="90"/>
      <c r="F57" s="41">
        <f>F55+F56</f>
        <v>136448</v>
      </c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52" t="s">
        <v>192</v>
      </c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53"/>
      <c r="B62" s="53"/>
      <c r="C62" s="53"/>
      <c r="D62" s="53"/>
      <c r="E62" s="53"/>
      <c r="F62" s="53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9" t="s">
        <v>4</v>
      </c>
      <c r="B63" s="9" t="s">
        <v>5</v>
      </c>
      <c r="C63" s="9" t="s">
        <v>6</v>
      </c>
      <c r="D63" s="9" t="s">
        <v>7</v>
      </c>
      <c r="E63" s="9" t="s">
        <v>8</v>
      </c>
      <c r="F63" s="9" t="s">
        <v>9</v>
      </c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13">
        <v>1.0</v>
      </c>
      <c r="B64" s="54" t="s">
        <v>194</v>
      </c>
      <c r="C64" s="55">
        <v>45809.0</v>
      </c>
      <c r="D64" s="22">
        <v>5.0</v>
      </c>
      <c r="E64" s="56"/>
      <c r="F64" s="28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30" t="s">
        <v>21</v>
      </c>
      <c r="B65" s="31"/>
      <c r="C65" s="32"/>
      <c r="D65" s="24">
        <f>round(D64*(1+5.26%),3)</f>
        <v>5.263</v>
      </c>
      <c r="E65" s="57"/>
      <c r="F65" s="28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30" t="s">
        <v>24</v>
      </c>
      <c r="B66" s="31"/>
      <c r="C66" s="32"/>
      <c r="D66" s="24">
        <f>round(D65*10%,2)</f>
        <v>0.53</v>
      </c>
      <c r="E66" s="57"/>
      <c r="F66" s="28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33" t="s">
        <v>9</v>
      </c>
      <c r="B67" s="31"/>
      <c r="C67" s="32"/>
      <c r="D67" s="39">
        <f>D65-D66</f>
        <v>4.733</v>
      </c>
      <c r="E67" s="90">
        <v>26300.0</v>
      </c>
      <c r="F67" s="41">
        <f>round(D67*E67,0)</f>
        <v>124478</v>
      </c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33" t="s">
        <v>26</v>
      </c>
      <c r="B68" s="31"/>
      <c r="C68" s="32"/>
      <c r="D68" s="39"/>
      <c r="E68" s="90"/>
      <c r="F68" s="41">
        <f>round(F67*10%,0)</f>
        <v>12448</v>
      </c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33" t="s">
        <v>16</v>
      </c>
      <c r="B69" s="31"/>
      <c r="C69" s="32"/>
      <c r="D69" s="39"/>
      <c r="E69" s="90"/>
      <c r="F69" s="41">
        <f>F67+F68</f>
        <v>136926</v>
      </c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52" t="s">
        <v>192</v>
      </c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53"/>
      <c r="B74" s="53"/>
      <c r="C74" s="53"/>
      <c r="D74" s="53"/>
      <c r="E74" s="53"/>
      <c r="F74" s="53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9" t="s">
        <v>4</v>
      </c>
      <c r="B75" s="9" t="s">
        <v>5</v>
      </c>
      <c r="C75" s="9" t="s">
        <v>6</v>
      </c>
      <c r="D75" s="9" t="s">
        <v>7</v>
      </c>
      <c r="E75" s="9" t="s">
        <v>8</v>
      </c>
      <c r="F75" s="9" t="s">
        <v>9</v>
      </c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13">
        <v>1.0</v>
      </c>
      <c r="B76" s="54" t="s">
        <v>194</v>
      </c>
      <c r="C76" s="55">
        <v>45839.0</v>
      </c>
      <c r="D76" s="22">
        <v>5.0</v>
      </c>
      <c r="E76" s="56"/>
      <c r="F76" s="28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30" t="s">
        <v>32</v>
      </c>
      <c r="B77" s="31"/>
      <c r="C77" s="32"/>
      <c r="D77" s="24">
        <f>round(D76*(1+10%),3)</f>
        <v>5.5</v>
      </c>
      <c r="E77" s="57"/>
      <c r="F77" s="28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30" t="s">
        <v>24</v>
      </c>
      <c r="B78" s="31"/>
      <c r="C78" s="32"/>
      <c r="D78" s="24">
        <f>round(D77*10%,2)</f>
        <v>0.55</v>
      </c>
      <c r="E78" s="57"/>
      <c r="F78" s="28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33" t="s">
        <v>9</v>
      </c>
      <c r="B79" s="31"/>
      <c r="C79" s="32"/>
      <c r="D79" s="39">
        <f>D77-D78</f>
        <v>4.95</v>
      </c>
      <c r="E79" s="90">
        <v>26382.0</v>
      </c>
      <c r="F79" s="41">
        <f>round(D79*E79,0)</f>
        <v>130591</v>
      </c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33" t="s">
        <v>26</v>
      </c>
      <c r="B80" s="31"/>
      <c r="C80" s="32"/>
      <c r="D80" s="39"/>
      <c r="E80" s="90"/>
      <c r="F80" s="41">
        <f>round(F79*10%,0)</f>
        <v>13059</v>
      </c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33" t="s">
        <v>16</v>
      </c>
      <c r="B81" s="31"/>
      <c r="C81" s="32"/>
      <c r="D81" s="39"/>
      <c r="E81" s="90"/>
      <c r="F81" s="41">
        <f>F79+F80</f>
        <v>143650</v>
      </c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</sheetData>
  <mergeCells count="42">
    <mergeCell ref="A1:F1"/>
    <mergeCell ref="A5:C5"/>
    <mergeCell ref="A6:C6"/>
    <mergeCell ref="A7:C7"/>
    <mergeCell ref="A8:C8"/>
    <mergeCell ref="A9:C9"/>
    <mergeCell ref="A13:F13"/>
    <mergeCell ref="A17:C17"/>
    <mergeCell ref="A18:C18"/>
    <mergeCell ref="A19:C19"/>
    <mergeCell ref="A20:C20"/>
    <mergeCell ref="A21:C21"/>
    <mergeCell ref="A25:F25"/>
    <mergeCell ref="A29:C29"/>
    <mergeCell ref="A30:C30"/>
    <mergeCell ref="A31:C31"/>
    <mergeCell ref="A32:C32"/>
    <mergeCell ref="A33:C33"/>
    <mergeCell ref="A37:F37"/>
    <mergeCell ref="A41:C41"/>
    <mergeCell ref="A42:C42"/>
    <mergeCell ref="A43:C43"/>
    <mergeCell ref="A44:C44"/>
    <mergeCell ref="A45:C45"/>
    <mergeCell ref="A49:F49"/>
    <mergeCell ref="A53:C53"/>
    <mergeCell ref="A54:C54"/>
    <mergeCell ref="A55:C55"/>
    <mergeCell ref="A69:C69"/>
    <mergeCell ref="A73:F73"/>
    <mergeCell ref="A77:C77"/>
    <mergeCell ref="A78:C78"/>
    <mergeCell ref="A79:C79"/>
    <mergeCell ref="A80:C80"/>
    <mergeCell ref="A81:C81"/>
    <mergeCell ref="A56:C56"/>
    <mergeCell ref="A57:C57"/>
    <mergeCell ref="A61:F61"/>
    <mergeCell ref="A65:C65"/>
    <mergeCell ref="A66:C66"/>
    <mergeCell ref="A67:C67"/>
    <mergeCell ref="A68:C68"/>
  </mergeCells>
  <drawing r:id="rId1"/>
</worksheet>
</file>