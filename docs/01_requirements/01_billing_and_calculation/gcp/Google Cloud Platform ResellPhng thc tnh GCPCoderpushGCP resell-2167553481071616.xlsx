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 HANG\4. GCP\Billing+Đối soát\Coderpush\T8.2026\"/>
    </mc:Choice>
  </mc:AlternateContent>
  <xr:revisionPtr revIDLastSave="0" documentId="13_ncr:1_{FB7A4A83-D23B-4B76-B645-58A6F490E72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6" i="1" l="1"/>
  <c r="E17" i="1"/>
  <c r="D13" i="1"/>
  <c r="D12" i="1"/>
  <c r="F10" i="1"/>
  <c r="F11" i="1"/>
  <c r="D14" i="1" l="1"/>
  <c r="D17" i="1" s="1"/>
  <c r="F17" i="1" s="1"/>
  <c r="F18" i="1" s="1"/>
  <c r="F19" i="1" l="1"/>
</calcChain>
</file>

<file path=xl/sharedStrings.xml><?xml version="1.0" encoding="utf-8"?>
<sst xmlns="http://schemas.openxmlformats.org/spreadsheetml/2006/main" count="26" uniqueCount="25">
  <si>
    <t>CÔNG TY CỔ PHẦN PHÁT TRIỂN DỊCH VỤ ĐÁM MÂY CLOUDAZ</t>
  </si>
  <si>
    <t>Số 3, Ngõ 4 Phố Nghĩa Đô, Phường Nghĩa Đô, Hà Nội</t>
  </si>
  <si>
    <t>Phone: (+84) 24 2124 4844        Email: hello@cloudaz.io           Website: www.cloudaz.io</t>
  </si>
  <si>
    <t>ĐỐI SOÁT CHI PHÍ
Google Cloud Platform</t>
  </si>
  <si>
    <t>STT</t>
  </si>
  <si>
    <t>Tài khoản</t>
  </si>
  <si>
    <t>Tháng</t>
  </si>
  <si>
    <t>Billing (USD)</t>
  </si>
  <si>
    <t>Tỷ giá</t>
  </si>
  <si>
    <t>Thành tiền</t>
  </si>
  <si>
    <t>Giá trị sử dụng (A)</t>
  </si>
  <si>
    <t>Giá trị sử dụng sau Discount</t>
  </si>
  <si>
    <t>Thuế VAT (trả cho Google)</t>
  </si>
  <si>
    <t>Phí dịch vụ</t>
  </si>
  <si>
    <t>Tổng cộng</t>
  </si>
  <si>
    <t>Thuế GTGT (10%)</t>
  </si>
  <si>
    <t>Tổng số tiền phải thanh toán</t>
  </si>
  <si>
    <t>Người lập</t>
  </si>
  <si>
    <t>Nguyễn Thị Hằng</t>
  </si>
  <si>
    <t>Khách hàng: Công ty TNHH Công Nghệ Coderpush</t>
  </si>
  <si>
    <t>014793-4347C1-568E28</t>
  </si>
  <si>
    <t>Discount (6%)</t>
  </si>
  <si>
    <t>Gemini API</t>
  </si>
  <si>
    <t>08-2026</t>
  </si>
  <si>
    <t>Hà Nội, ngày 4 tháng 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</si>
</sst>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_(* #,##0.00_);_(* \(#,##0.00\);_(* \-??_);_(@_)"/>
    <numFmt numFmtId="166" formatCode="_(* #,##0_);_(* \(#,##0\);_(* \-??_);_(@_)"/>
    <numFmt numFmtId="167" formatCode="#,##0[$ ₫]"/>
    <numFmt numFmtId="168" formatCode="&quot;$&quot;#,##0.00"/>
  </numFmts>
  <fonts count="13">
    <font>
      <sz val="10"/>
      <name val="Arial"/>
      <family val="2"/>
      <charset val="1"/>
    </font>
    <font>
      <b/>
      <sz val="14"/>
      <color rgb="FFFF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&quot;Times New Roman&quot;"/>
      <charset val="1"/>
    </font>
    <font>
      <b/>
      <sz val="14"/>
      <color rgb="FF000000"/>
      <name val="Times New Roman"/>
      <family val="1"/>
      <charset val="1"/>
    </font>
    <font>
      <sz val="1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5" fontId="12" fillId="0" borderId="0" applyBorder="0" applyProtection="0"/>
  </cellStyleXfs>
  <cellXfs count="33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7" fillId="0" borderId="0" xfId="0" applyFont="1"/>
    <xf numFmtId="164" fontId="8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right" vertical="center"/>
    </xf>
    <xf numFmtId="166" fontId="9" fillId="0" borderId="4" xfId="1" applyNumberFormat="1" applyFont="1" applyBorder="1" applyAlignment="1" applyProtection="1">
      <alignment horizontal="right" vertical="center" wrapText="1"/>
    </xf>
    <xf numFmtId="167" fontId="2" fillId="0" borderId="4" xfId="0" applyNumberFormat="1" applyFont="1" applyBorder="1" applyAlignment="1">
      <alignment horizontal="right" vertical="center" wrapText="1"/>
    </xf>
    <xf numFmtId="166" fontId="9" fillId="0" borderId="4" xfId="1" applyNumberFormat="1" applyFont="1" applyBorder="1" applyAlignment="1" applyProtection="1">
      <alignment horizontal="right" vertical="center"/>
    </xf>
    <xf numFmtId="167" fontId="10" fillId="0" borderId="4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8" fillId="0" borderId="4" xfId="0" applyNumberFormat="1" applyFont="1" applyBorder="1" applyAlignment="1">
      <alignment horizontal="right" vertical="center"/>
    </xf>
    <xf numFmtId="166" fontId="11" fillId="0" borderId="4" xfId="1" applyNumberFormat="1" applyFont="1" applyBorder="1" applyAlignment="1" applyProtection="1">
      <alignment horizontal="right" vertical="center" wrapText="1"/>
    </xf>
    <xf numFmtId="167" fontId="8" fillId="0" borderId="4" xfId="0" applyNumberFormat="1" applyFont="1" applyBorder="1" applyAlignment="1">
      <alignment horizontal="righ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168" fontId="2" fillId="0" borderId="4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showGridLines="0" tabSelected="1" topLeftCell="A6" zoomScaleNormal="100" workbookViewId="0">
      <selection activeCell="M10" sqref="M10"/>
    </sheetView>
  </sheetViews>
  <sheetFormatPr defaultColWidth="11.7109375" defaultRowHeight="12.75"/>
  <cols>
    <col min="2" max="2" width="30.5703125" customWidth="1"/>
    <col min="3" max="3" width="13.140625" customWidth="1"/>
    <col min="4" max="4" width="23.5703125" customWidth="1"/>
    <col min="5" max="5" width="15" customWidth="1"/>
    <col min="6" max="6" width="22.42578125" customWidth="1"/>
  </cols>
  <sheetData>
    <row r="1" spans="1:6" ht="26.25" customHeight="1">
      <c r="A1" s="24" t="s">
        <v>0</v>
      </c>
      <c r="B1" s="24"/>
      <c r="C1" s="24"/>
      <c r="D1" s="24"/>
      <c r="E1" s="24"/>
      <c r="F1" s="24"/>
    </row>
    <row r="2" spans="1:6" ht="15" customHeight="1">
      <c r="A2" s="25" t="s">
        <v>1</v>
      </c>
      <c r="B2" s="25"/>
      <c r="C2" s="25"/>
      <c r="D2" s="25"/>
      <c r="E2" s="25"/>
      <c r="F2" s="25"/>
    </row>
    <row r="3" spans="1:6" ht="15.75">
      <c r="A3" s="26" t="s">
        <v>2</v>
      </c>
      <c r="B3" s="26"/>
      <c r="C3" s="26"/>
      <c r="D3" s="26"/>
      <c r="E3" s="26"/>
      <c r="F3" s="26"/>
    </row>
    <row r="4" spans="1:6" ht="15">
      <c r="A4" s="3"/>
      <c r="B4" s="4"/>
      <c r="C4" s="4"/>
      <c r="D4" s="4"/>
      <c r="E4" s="4"/>
      <c r="F4" s="4"/>
    </row>
    <row r="5" spans="1:6" ht="15.75">
      <c r="A5" s="5"/>
      <c r="B5" s="5"/>
      <c r="C5" s="5"/>
      <c r="D5" s="6"/>
      <c r="E5" s="5"/>
      <c r="F5" s="5"/>
    </row>
    <row r="6" spans="1:6" s="7" customFormat="1" ht="44.25" customHeight="1">
      <c r="A6" s="27" t="s">
        <v>3</v>
      </c>
      <c r="B6" s="27"/>
      <c r="C6" s="27"/>
      <c r="D6" s="27"/>
      <c r="E6" s="27"/>
      <c r="F6" s="27"/>
    </row>
    <row r="7" spans="1:6" s="7" customFormat="1" ht="15" customHeight="1">
      <c r="A7" s="28" t="s">
        <v>19</v>
      </c>
      <c r="B7" s="28"/>
      <c r="C7" s="28"/>
      <c r="D7" s="28"/>
      <c r="E7" s="28"/>
      <c r="F7" s="28"/>
    </row>
    <row r="8" spans="1:6" s="7" customFormat="1" ht="15.75">
      <c r="A8" s="2"/>
      <c r="B8" s="2"/>
      <c r="C8" s="2"/>
      <c r="D8" s="8"/>
      <c r="E8" s="2"/>
      <c r="F8" s="2"/>
    </row>
    <row r="9" spans="1:6" s="7" customFormat="1" ht="21.75" customHeight="1">
      <c r="A9" s="1" t="s">
        <v>4</v>
      </c>
      <c r="B9" s="9" t="s">
        <v>5</v>
      </c>
      <c r="C9" s="9" t="s">
        <v>6</v>
      </c>
      <c r="D9" s="10" t="s">
        <v>7</v>
      </c>
      <c r="E9" s="9" t="s">
        <v>8</v>
      </c>
      <c r="F9" s="9" t="s">
        <v>9</v>
      </c>
    </row>
    <row r="10" spans="1:6" s="7" customFormat="1" ht="15.75">
      <c r="A10" s="11">
        <v>1</v>
      </c>
      <c r="B10" s="12" t="s">
        <v>20</v>
      </c>
      <c r="C10" s="22" t="s">
        <v>23</v>
      </c>
      <c r="D10" s="23">
        <v>1273.8900000000001</v>
      </c>
      <c r="E10" s="14">
        <v>26275</v>
      </c>
      <c r="F10" s="15">
        <f>+D10*E10</f>
        <v>33471459.750000004</v>
      </c>
    </row>
    <row r="11" spans="1:6" s="7" customFormat="1" ht="15.75">
      <c r="A11" s="11">
        <v>2</v>
      </c>
      <c r="B11" s="12" t="s">
        <v>22</v>
      </c>
      <c r="C11" s="22" t="s">
        <v>23</v>
      </c>
      <c r="D11" s="13">
        <v>496.02</v>
      </c>
      <c r="E11" s="14">
        <v>26275</v>
      </c>
      <c r="F11" s="15">
        <f>+D11*E11</f>
        <v>13032925.5</v>
      </c>
    </row>
    <row r="12" spans="1:6" s="7" customFormat="1" ht="30" customHeight="1">
      <c r="A12" s="11"/>
      <c r="B12" s="29" t="s">
        <v>10</v>
      </c>
      <c r="C12" s="29"/>
      <c r="D12" s="13">
        <f>SUM(D10:D11)</f>
        <v>1769.91</v>
      </c>
      <c r="E12" s="16"/>
      <c r="F12" s="17"/>
    </row>
    <row r="13" spans="1:6" s="7" customFormat="1" ht="15.75" customHeight="1">
      <c r="A13" s="11"/>
      <c r="B13" s="29" t="s">
        <v>21</v>
      </c>
      <c r="C13" s="29"/>
      <c r="D13" s="13">
        <f>+ROUND(D10*6%,2)</f>
        <v>76.430000000000007</v>
      </c>
      <c r="E13" s="16"/>
      <c r="F13" s="17"/>
    </row>
    <row r="14" spans="1:6" s="7" customFormat="1" ht="15.75" customHeight="1">
      <c r="A14" s="11"/>
      <c r="B14" s="29" t="s">
        <v>11</v>
      </c>
      <c r="C14" s="29"/>
      <c r="D14" s="13">
        <f>+D12-D13</f>
        <v>1693.48</v>
      </c>
      <c r="E14" s="16"/>
      <c r="F14" s="17"/>
    </row>
    <row r="15" spans="1:6" s="7" customFormat="1" ht="15.75" customHeight="1">
      <c r="A15" s="18"/>
      <c r="B15" s="29" t="s">
        <v>12</v>
      </c>
      <c r="C15" s="29"/>
      <c r="D15" s="13">
        <v>0</v>
      </c>
      <c r="E15" s="16"/>
      <c r="F15" s="17"/>
    </row>
    <row r="16" spans="1:6" s="7" customFormat="1" ht="15.75" customHeight="1">
      <c r="A16" s="18"/>
      <c r="B16" s="29" t="s">
        <v>13</v>
      </c>
      <c r="C16" s="29"/>
      <c r="D16" s="13">
        <f>+ROUND(D12*5.88%,2)</f>
        <v>104.07</v>
      </c>
      <c r="E16" s="16"/>
      <c r="F16" s="17"/>
    </row>
    <row r="17" spans="1:6" s="7" customFormat="1" ht="46.5" customHeight="1">
      <c r="A17" s="18"/>
      <c r="B17" s="31" t="s">
        <v>14</v>
      </c>
      <c r="C17" s="31"/>
      <c r="D17" s="19">
        <f>+ROUND(D14+D15+D16,2)</f>
        <v>1797.55</v>
      </c>
      <c r="E17" s="20">
        <f>+E11</f>
        <v>26275</v>
      </c>
      <c r="F17" s="21">
        <f>+ROUND(D17*E17,0)</f>
        <v>47230626</v>
      </c>
    </row>
    <row r="18" spans="1:6" s="7" customFormat="1" ht="46.5" customHeight="1">
      <c r="A18" s="18"/>
      <c r="B18" s="31" t="s">
        <v>15</v>
      </c>
      <c r="C18" s="31"/>
      <c r="D18" s="31"/>
      <c r="E18" s="31"/>
      <c r="F18" s="21">
        <f>+F17*10%</f>
        <v>4723062.6000000006</v>
      </c>
    </row>
    <row r="19" spans="1:6" s="7" customFormat="1" ht="46.5" customHeight="1">
      <c r="A19" s="18"/>
      <c r="B19" s="31" t="s">
        <v>16</v>
      </c>
      <c r="C19" s="31"/>
      <c r="D19" s="31"/>
      <c r="E19" s="31"/>
      <c r="F19" s="21">
        <f>+F17+F18</f>
        <v>51953688.600000001</v>
      </c>
    </row>
    <row r="20" spans="1:6" ht="14.25">
      <c r="A20" s="4"/>
      <c r="B20" s="4"/>
      <c r="C20" s="4"/>
    </row>
    <row r="21" spans="1:6" ht="15" customHeight="1">
      <c r="A21" s="4"/>
      <c r="B21" s="4"/>
      <c r="C21" s="4"/>
    </row>
    <row r="22" spans="1:6" ht="26.25" customHeight="1">
      <c r="A22" s="4"/>
      <c r="B22" s="4"/>
      <c r="C22" s="4"/>
      <c r="D22" s="25" t="s">
        <v>24</v>
      </c>
      <c r="E22" s="25"/>
      <c r="F22" s="25"/>
    </row>
    <row r="23" spans="1:6" ht="108" customHeight="1">
      <c r="D23" s="32" t="s">
        <v>17</v>
      </c>
      <c r="E23" s="32"/>
      <c r="F23" s="32"/>
    </row>
    <row r="24" spans="1:6" ht="15.75">
      <c r="D24" s="30" t="s">
        <v>18</v>
      </c>
      <c r="E24" s="30"/>
      <c r="F24" s="30"/>
    </row>
  </sheetData>
  <mergeCells count="16">
    <mergeCell ref="D24:F24"/>
    <mergeCell ref="B17:C17"/>
    <mergeCell ref="B18:E18"/>
    <mergeCell ref="B19:E19"/>
    <mergeCell ref="D22:F22"/>
    <mergeCell ref="D23:F23"/>
    <mergeCell ref="B12:C12"/>
    <mergeCell ref="B13:C13"/>
    <mergeCell ref="B14:C14"/>
    <mergeCell ref="B15:C15"/>
    <mergeCell ref="B16:C16"/>
    <mergeCell ref="A1:F1"/>
    <mergeCell ref="A2:F2"/>
    <mergeCell ref="A3:F3"/>
    <mergeCell ref="A6:F6"/>
    <mergeCell ref="A7:F7"/>
  </mergeCells>
  <pageMargins left="0.78749999999999998" right="0.78749999999999998" top="1.05277777777778" bottom="1.05277777777778" header="0.78749999999999998" footer="0.78749999999999998"/>
  <pageSetup paperSize="9" scale="74" fitToHeight="0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Ha_KT</cp:lastModifiedBy>
  <cp:revision>15</cp:revision>
  <cp:lastPrinted>2026-09-04T08:06:50Z</cp:lastPrinted>
  <dcterms:created xsi:type="dcterms:W3CDTF">2023-05-23T10:11:33Z</dcterms:created>
  <dcterms:modified xsi:type="dcterms:W3CDTF">2026-09-04T08:06:53Z</dcterms:modified>
  <dc:language>en-GB</dc:language>
</cp:coreProperties>
</file>